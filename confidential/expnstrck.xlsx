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kitan.vyas\Documents\"/>
    </mc:Choice>
  </mc:AlternateContent>
  <xr:revisionPtr revIDLastSave="0" documentId="13_ncr:1_{ED966B56-642A-4FD9-AA79-53841A77EFEA}" xr6:coauthVersionLast="47" xr6:coauthVersionMax="47" xr10:uidLastSave="{00000000-0000-0000-0000-000000000000}"/>
  <bookViews>
    <workbookView xWindow="-110" yWindow="350" windowWidth="19420" windowHeight="10560" activeTab="3" xr2:uid="{964BC787-0575-427E-8B64-7602985136CD}"/>
  </bookViews>
  <sheets>
    <sheet name="Track Expense" sheetId="3" r:id="rId1"/>
    <sheet name="Maa" sheetId="4" r:id="rId2"/>
    <sheet name="Cutoff" sheetId="5" r:id="rId3"/>
    <sheet name="Misc" sheetId="6" r:id="rId4"/>
  </sheets>
  <definedNames>
    <definedName name="_xlnm._FilterDatabase" localSheetId="1" hidden="1">Maa!$A$6:$D$14</definedName>
    <definedName name="_xlnm._FilterDatabase" localSheetId="0" hidden="1">'Track Expense'!$A$1:$K$23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" l="1"/>
  <c r="C14" i="6"/>
  <c r="D12" i="6"/>
  <c r="D40" i="5"/>
  <c r="C46" i="6"/>
  <c r="C45" i="6"/>
  <c r="C44" i="6"/>
  <c r="C43" i="6"/>
  <c r="B2" i="4"/>
  <c r="D19" i="4"/>
  <c r="D18" i="4"/>
  <c r="B93" i="3"/>
  <c r="B88" i="3"/>
  <c r="K13" i="6"/>
  <c r="D30" i="6"/>
  <c r="D31" i="6"/>
  <c r="D32" i="6"/>
  <c r="D33" i="6"/>
  <c r="D34" i="6"/>
  <c r="D35" i="6"/>
  <c r="B86" i="3"/>
  <c r="C36" i="6"/>
  <c r="D36" i="6" s="1"/>
  <c r="B36" i="6"/>
  <c r="J15" i="6"/>
  <c r="B69" i="3"/>
  <c r="B68" i="3"/>
  <c r="B67" i="3"/>
  <c r="B64" i="3"/>
  <c r="K17" i="6"/>
  <c r="D34" i="5"/>
  <c r="E34" i="5"/>
  <c r="E35" i="5" s="1"/>
  <c r="B57" i="3"/>
  <c r="B55" i="3"/>
  <c r="B54" i="3"/>
  <c r="B51" i="3"/>
  <c r="B50" i="3"/>
  <c r="B53" i="3"/>
  <c r="B52" i="3"/>
  <c r="B47" i="3"/>
  <c r="B48" i="3"/>
  <c r="C47" i="5"/>
  <c r="C46" i="5"/>
  <c r="G49" i="5"/>
  <c r="I49" i="5" s="1"/>
  <c r="J49" i="5" s="1"/>
  <c r="K49" i="5" s="1"/>
  <c r="J46" i="5"/>
  <c r="I51" i="5"/>
  <c r="J51" i="5" s="1"/>
  <c r="K51" i="5" s="1"/>
  <c r="I50" i="5"/>
  <c r="J50" i="5" s="1"/>
  <c r="K50" i="5" s="1"/>
  <c r="I53" i="5"/>
  <c r="I52" i="5"/>
  <c r="H53" i="5"/>
  <c r="H52" i="5"/>
  <c r="H45" i="5"/>
  <c r="C48" i="5"/>
  <c r="B29" i="3"/>
  <c r="D35" i="5" l="1"/>
</calcChain>
</file>

<file path=xl/sharedStrings.xml><?xml version="1.0" encoding="utf-8"?>
<sst xmlns="http://schemas.openxmlformats.org/spreadsheetml/2006/main" count="1108" uniqueCount="371">
  <si>
    <t>Home</t>
  </si>
  <si>
    <t>InCash</t>
  </si>
  <si>
    <t>Savings</t>
  </si>
  <si>
    <t>Papa med</t>
  </si>
  <si>
    <t>DBS</t>
  </si>
  <si>
    <t>ICICI</t>
  </si>
  <si>
    <t>Light Bill</t>
  </si>
  <si>
    <t>Recharges</t>
  </si>
  <si>
    <t>Charity</t>
  </si>
  <si>
    <t>Car</t>
  </si>
  <si>
    <t>MF</t>
  </si>
  <si>
    <t>Petrol</t>
  </si>
  <si>
    <t>EMI</t>
  </si>
  <si>
    <t>Misc</t>
  </si>
  <si>
    <t>SBI</t>
  </si>
  <si>
    <t>DEBT</t>
  </si>
  <si>
    <t>INVEST</t>
  </si>
  <si>
    <t>Particular</t>
  </si>
  <si>
    <t>Sub</t>
  </si>
  <si>
    <t>Bank</t>
  </si>
  <si>
    <t>Rs</t>
  </si>
  <si>
    <t>Cause</t>
  </si>
  <si>
    <t>Self Side Hustle</t>
  </si>
  <si>
    <t>Learning</t>
  </si>
  <si>
    <t>Term Insurance</t>
  </si>
  <si>
    <t>NPS</t>
  </si>
  <si>
    <t>Future</t>
  </si>
  <si>
    <t>PNB</t>
  </si>
  <si>
    <t>Done/Not Done</t>
  </si>
  <si>
    <t>Not Done</t>
  </si>
  <si>
    <t>TV Recharge</t>
  </si>
  <si>
    <t>Transfer Day of Month</t>
  </si>
  <si>
    <t>Diversify Portfolio</t>
  </si>
  <si>
    <t>Equity</t>
  </si>
  <si>
    <t>Debt</t>
  </si>
  <si>
    <t>IPO</t>
  </si>
  <si>
    <t>STOCK</t>
  </si>
  <si>
    <t>Date\Bank</t>
  </si>
  <si>
    <t>1st</t>
  </si>
  <si>
    <t>15th</t>
  </si>
  <si>
    <t>30th</t>
  </si>
  <si>
    <t>Month</t>
  </si>
  <si>
    <t>THIS</t>
  </si>
  <si>
    <t>PREV</t>
  </si>
  <si>
    <t>PREV-1</t>
  </si>
  <si>
    <t>STEP1. Copy this to Above</t>
  </si>
  <si>
    <t>STEP2. Copy this to Above</t>
  </si>
  <si>
    <t>STEP3.Add Entries here</t>
  </si>
  <si>
    <t>Life Insurance</t>
  </si>
  <si>
    <t>Long Term Goal</t>
  </si>
  <si>
    <t>Stock Market</t>
  </si>
  <si>
    <t>Short Term Goal</t>
  </si>
  <si>
    <t>Compromise</t>
  </si>
  <si>
    <t>NO</t>
  </si>
  <si>
    <t>YES</t>
  </si>
  <si>
    <t>Done</t>
  </si>
  <si>
    <t>ICICI_Cred</t>
  </si>
  <si>
    <t>Sector</t>
  </si>
  <si>
    <t>Mode</t>
  </si>
  <si>
    <t>Status</t>
  </si>
  <si>
    <t>DONE</t>
  </si>
  <si>
    <t>BANK</t>
  </si>
  <si>
    <t>International</t>
  </si>
  <si>
    <t>7-Union Balanced Advantage Fund Direct Growth</t>
  </si>
  <si>
    <t>7-ABSL Govt Securities Fund Direct Plan</t>
  </si>
  <si>
    <t>6-Edlwesis Balanced Advantage Fund Direct Growth</t>
  </si>
  <si>
    <t>5-AB AMC NASDAQ 100 FOF direct growth</t>
  </si>
  <si>
    <t>BlueChip Long Term</t>
  </si>
  <si>
    <t>Medium Term</t>
  </si>
  <si>
    <t>Actual Investment Declaration</t>
  </si>
  <si>
    <t>Money</t>
  </si>
  <si>
    <t>Settle from Bank</t>
  </si>
  <si>
    <t>Payment from Bank</t>
  </si>
  <si>
    <t>LIB</t>
  </si>
  <si>
    <t>PuneTrip</t>
  </si>
  <si>
    <t>upstox</t>
  </si>
  <si>
    <t>JAN</t>
  </si>
  <si>
    <t>Cred</t>
  </si>
  <si>
    <t>FEB</t>
  </si>
  <si>
    <t>PuneTrip_CrashSettlement</t>
  </si>
  <si>
    <t>Purchase_Paint</t>
  </si>
  <si>
    <t>MAR</t>
  </si>
  <si>
    <t>Papa Med</t>
  </si>
  <si>
    <t>APR</t>
  </si>
  <si>
    <t>MasiTicket</t>
  </si>
  <si>
    <t>Gym</t>
  </si>
  <si>
    <t>MAY</t>
  </si>
  <si>
    <t>Rail ticket</t>
  </si>
  <si>
    <t>Air ticket</t>
  </si>
  <si>
    <t>Hyd Trip</t>
  </si>
  <si>
    <t>Clear in CC Bill May</t>
  </si>
  <si>
    <t>Ghar Kharch</t>
  </si>
  <si>
    <t>MOD</t>
  </si>
  <si>
    <t>Union Bank</t>
  </si>
  <si>
    <t>FD</t>
  </si>
  <si>
    <t>6000Tata</t>
  </si>
  <si>
    <t>50KAditya</t>
  </si>
  <si>
    <t>61KMirae</t>
  </si>
  <si>
    <t>37.5KParag</t>
  </si>
  <si>
    <t>34KNippon</t>
  </si>
  <si>
    <t>Stock</t>
  </si>
  <si>
    <t>ISB</t>
  </si>
  <si>
    <t>Other Institute</t>
  </si>
  <si>
    <t>GMAT</t>
  </si>
  <si>
    <t>Expns/mnth</t>
  </si>
  <si>
    <t>saving/mnth</t>
  </si>
  <si>
    <t>JUN</t>
  </si>
  <si>
    <t>Paytm</t>
  </si>
  <si>
    <t>30KBonus</t>
  </si>
  <si>
    <t>12KSavings</t>
  </si>
  <si>
    <t>Pune Trip Petrol</t>
  </si>
  <si>
    <t>Pune Trip Shopping</t>
  </si>
  <si>
    <t>MathuraReturn</t>
  </si>
  <si>
    <t>Haridwar</t>
  </si>
  <si>
    <t>Rishikesh</t>
  </si>
  <si>
    <t>Pune</t>
  </si>
  <si>
    <t>Pune Trip FF</t>
  </si>
  <si>
    <t>GharKharch</t>
  </si>
  <si>
    <t>JUL</t>
  </si>
  <si>
    <t>Macchardani</t>
  </si>
  <si>
    <t>50K Sent to SBI</t>
  </si>
  <si>
    <t>Gas Cylinder</t>
  </si>
  <si>
    <t>iPhone</t>
  </si>
  <si>
    <t>Mattress</t>
  </si>
  <si>
    <t>iPhone Charger+Case</t>
  </si>
  <si>
    <t>icici credit card hp</t>
  </si>
  <si>
    <t>icici credit card az</t>
  </si>
  <si>
    <t>Comments</t>
  </si>
  <si>
    <t>SETTLE</t>
  </si>
  <si>
    <t>ALL</t>
  </si>
  <si>
    <t>50K DEBT AGAIN SBI</t>
  </si>
  <si>
    <t>NEED</t>
  </si>
  <si>
    <t>WANTS</t>
  </si>
  <si>
    <t>Clear in CC Bill Jun</t>
  </si>
  <si>
    <t>Clear in CC Bill Jul</t>
  </si>
  <si>
    <t>Write to Balance Sheet MOD</t>
  </si>
  <si>
    <t>Extra Every month</t>
  </si>
  <si>
    <t>W/N</t>
  </si>
  <si>
    <t>17th of Month [*TAX SAVING]</t>
  </si>
  <si>
    <t>Bajaj Life Goal *</t>
  </si>
  <si>
    <t>MF *</t>
  </si>
  <si>
    <t>Mirae Asset Tax -3K[5th of Month][*TAX SAVING] || Nippon Sensex - 2K[5th of Month]</t>
  </si>
  <si>
    <t>Mattress EMI ^</t>
  </si>
  <si>
    <t>Max Life *</t>
  </si>
  <si>
    <t>[* TAX SAVING]</t>
  </si>
  <si>
    <t>Invesment Performance</t>
  </si>
  <si>
    <t>Jindal</t>
  </si>
  <si>
    <t>x6</t>
  </si>
  <si>
    <t>Category</t>
  </si>
  <si>
    <t>Unit</t>
  </si>
  <si>
    <t>Invested Amount</t>
  </si>
  <si>
    <t>Current Amount</t>
  </si>
  <si>
    <t>Name</t>
  </si>
  <si>
    <t>x9</t>
  </si>
  <si>
    <t>Platform</t>
  </si>
  <si>
    <t>Groww</t>
  </si>
  <si>
    <t>Mirae Asset Tax Saver Fund Direct Growth</t>
  </si>
  <si>
    <t>x1379</t>
  </si>
  <si>
    <t>Parag Parikh Flexi Cap Fund Direct Growth</t>
  </si>
  <si>
    <t>x541</t>
  </si>
  <si>
    <t>Nippon India Index Fund S&amp;P BSE Sensex Plan Direct Growth</t>
  </si>
  <si>
    <t>x809</t>
  </si>
  <si>
    <t>Tata Digital India Fund Direct Growth</t>
  </si>
  <si>
    <t>x165</t>
  </si>
  <si>
    <t>Aditya Birla Sun Life Regular Savings Fund Regular Plan Monthly Payment</t>
  </si>
  <si>
    <t>x978</t>
  </si>
  <si>
    <t>Akzoindia</t>
  </si>
  <si>
    <t>x2</t>
  </si>
  <si>
    <t>Upstox</t>
  </si>
  <si>
    <t>Godrejagro</t>
  </si>
  <si>
    <t>x5</t>
  </si>
  <si>
    <t>IRFC</t>
  </si>
  <si>
    <t>x575</t>
  </si>
  <si>
    <t>NationalAluminium</t>
  </si>
  <si>
    <t>YesBank</t>
  </si>
  <si>
    <t>x201</t>
  </si>
  <si>
    <t>Side Hustle</t>
  </si>
  <si>
    <t>New Investment</t>
  </si>
  <si>
    <t>Plan of Action</t>
  </si>
  <si>
    <t>Keep</t>
  </si>
  <si>
    <t>Short Sell</t>
  </si>
  <si>
    <t>Keep but Switch to New</t>
  </si>
  <si>
    <t>Short Keep</t>
  </si>
  <si>
    <t>Savings ^</t>
  </si>
  <si>
    <t xml:space="preserve">[^ 4months EMI for Magoosh - then back to ShortTerm/Savings-PNB] </t>
  </si>
  <si>
    <t>Savings %</t>
  </si>
  <si>
    <t xml:space="preserve">[% INVEST to CLEAR DEBT] </t>
  </si>
  <si>
    <t>MF %</t>
  </si>
  <si>
    <t>Parag Parikh[25th of Month][Start Aug'21][End Sep'22][% IMNVEST to CLEAR DEBT]</t>
  </si>
  <si>
    <t>Amount</t>
  </si>
  <si>
    <t>BASIC</t>
  </si>
  <si>
    <t>HRA</t>
  </si>
  <si>
    <t>Education</t>
  </si>
  <si>
    <t>Telephone</t>
  </si>
  <si>
    <t>Prof P All</t>
  </si>
  <si>
    <t>Special Al</t>
  </si>
  <si>
    <t>Internet A</t>
  </si>
  <si>
    <t>PF</t>
  </si>
  <si>
    <t>PT</t>
  </si>
  <si>
    <t>TDS</t>
  </si>
  <si>
    <t>Overall Tax Summary (Actual)</t>
  </si>
  <si>
    <t>Old Regime</t>
  </si>
  <si>
    <t>New Regime</t>
  </si>
  <si>
    <t>Net Taxable Income</t>
  </si>
  <si>
    <t>Total Tax</t>
  </si>
  <si>
    <t>Tax to be Paid</t>
  </si>
  <si>
    <t>Particulars</t>
  </si>
  <si>
    <t>Salary</t>
  </si>
  <si>
    <t>Statutory Provident Fund</t>
  </si>
  <si>
    <t>Life Insurance Premium</t>
  </si>
  <si>
    <t>Mutual Fund</t>
  </si>
  <si>
    <t>Taxable Income</t>
  </si>
  <si>
    <t>Tax</t>
  </si>
  <si>
    <t>Rebate</t>
  </si>
  <si>
    <t>Surcharge</t>
  </si>
  <si>
    <t>Cess</t>
  </si>
  <si>
    <t>Relief</t>
  </si>
  <si>
    <t>Actual TDS</t>
  </si>
  <si>
    <t>TDS Deducted</t>
  </si>
  <si>
    <t>TDS Pay / Refund</t>
  </si>
  <si>
    <t>TDS Per Month</t>
  </si>
  <si>
    <t>80C Investments</t>
  </si>
  <si>
    <t>(Max Limit:  1,50,000.00)</t>
  </si>
  <si>
    <t>Room for Declaration</t>
  </si>
  <si>
    <t>House Property Details (80GG)</t>
  </si>
  <si>
    <t>Donations (80G)</t>
  </si>
  <si>
    <t>Actual</t>
  </si>
  <si>
    <t>Proposed</t>
  </si>
  <si>
    <t>Clear in CC Bill Feb</t>
  </si>
  <si>
    <t>Clear in CC Bill Apr</t>
  </si>
  <si>
    <t>Cred (Hyd Trip 6K)</t>
  </si>
  <si>
    <t>EMI on Credit Card - see cutoff page DEBT CLEARANCE section</t>
  </si>
  <si>
    <t>Hopital</t>
  </si>
  <si>
    <t>AUG</t>
  </si>
  <si>
    <t>Clear in CC Bill Aug</t>
  </si>
  <si>
    <t>Birthday Party</t>
  </si>
  <si>
    <t>gharKharch_baby+mithai+med</t>
  </si>
  <si>
    <t>Rakhi Gift</t>
  </si>
  <si>
    <t>Clear from Misc *in 4</t>
  </si>
  <si>
    <t>Sell some stuff</t>
  </si>
  <si>
    <t>MOD Stock</t>
  </si>
  <si>
    <t>Mobile Phone</t>
  </si>
  <si>
    <t>Papa Checkup</t>
  </si>
  <si>
    <t>baby gift</t>
  </si>
  <si>
    <t>Clear in CC Bill Sep</t>
  </si>
  <si>
    <t>airtel xtreme purchase</t>
  </si>
  <si>
    <t>SEP</t>
  </si>
  <si>
    <t>Children Education Allowance</t>
  </si>
  <si>
    <t>Telephone Allowance</t>
  </si>
  <si>
    <t>Internet Allowance</t>
  </si>
  <si>
    <t>Special Allowance</t>
  </si>
  <si>
    <t xml:space="preserve">Basic Salary (A) </t>
  </si>
  <si>
    <t xml:space="preserve">House Rent Allowance  </t>
  </si>
  <si>
    <t>Professional Pursuit Allowance \</t>
  </si>
  <si>
    <t>Total Allowance</t>
  </si>
  <si>
    <t>Magoosh Purchase</t>
  </si>
  <si>
    <t>OCT</t>
  </si>
  <si>
    <t>NOV</t>
  </si>
  <si>
    <t>DEC</t>
  </si>
  <si>
    <t>Clear in CC Bill OCT</t>
  </si>
  <si>
    <t>Clear in CC Bill NOV</t>
  </si>
  <si>
    <t>Clear in CC Bill DEC</t>
  </si>
  <si>
    <t>Clear in CC Bill JAN</t>
  </si>
  <si>
    <t>Tailor</t>
  </si>
  <si>
    <t>Diwali</t>
  </si>
  <si>
    <t>fataka</t>
  </si>
  <si>
    <t>ghee</t>
  </si>
  <si>
    <t>water bill</t>
  </si>
  <si>
    <t>Clear in OCT END</t>
  </si>
  <si>
    <t>Movie</t>
  </si>
  <si>
    <t>Shubham Contri 230</t>
  </si>
  <si>
    <t>Variable P</t>
  </si>
  <si>
    <t>Tirupati Trip</t>
  </si>
  <si>
    <t xml:space="preserve">Clear in CC Bill NOV </t>
  </si>
  <si>
    <t>For Furniture 7.5K total</t>
  </si>
  <si>
    <t>for flat fittings</t>
  </si>
  <si>
    <t>Return in DEC</t>
  </si>
  <si>
    <t>Ghee 1950 total</t>
  </si>
  <si>
    <t>Tirupati Hotel</t>
  </si>
  <si>
    <t xml:space="preserve">take from Ruchi </t>
  </si>
  <si>
    <t>Pune trip fastag</t>
  </si>
  <si>
    <t>Hyd Trip fastag</t>
  </si>
  <si>
    <t>Hyd Trip Petrol</t>
  </si>
  <si>
    <t>Pune plumbing work</t>
  </si>
  <si>
    <t>Clear in CC Bill FEB</t>
  </si>
  <si>
    <t>Clear in DBS in 5*</t>
  </si>
  <si>
    <t>Pune Fridge</t>
  </si>
  <si>
    <t>Pune Washing Machine</t>
  </si>
  <si>
    <t>take from Maa</t>
  </si>
  <si>
    <t>as of 30DEC'22</t>
  </si>
  <si>
    <t>GROWW</t>
  </si>
  <si>
    <t>Closing Balance 04/07/21</t>
  </si>
  <si>
    <t>Deposite Amount 31/07/21</t>
  </si>
  <si>
    <t>Balance on 20/12/22</t>
  </si>
  <si>
    <t>Closing Balance 31/12/22</t>
  </si>
  <si>
    <t>Aditya Birla AMC</t>
  </si>
  <si>
    <t>Short Term</t>
  </si>
  <si>
    <t>Pure Saving (Bank/FD)</t>
  </si>
  <si>
    <t>Investment</t>
  </si>
  <si>
    <t>Needs(Home)</t>
  </si>
  <si>
    <t>Wants(CAR EMI)</t>
  </si>
  <si>
    <t>Future Allocation</t>
  </si>
  <si>
    <t>paid as Rent</t>
  </si>
  <si>
    <t>Papa Bank</t>
  </si>
  <si>
    <t>Mom Bank</t>
  </si>
  <si>
    <t>Self</t>
  </si>
  <si>
    <t>Latur Recharges(TV/ Wifi/ Mobile)</t>
  </si>
  <si>
    <t>Pune Recharge(TV/ Wifi/ Mobile)</t>
  </si>
  <si>
    <t>InCash(Milk+BC+RD+Bai)</t>
  </si>
  <si>
    <t>RD</t>
  </si>
  <si>
    <t>[^ SHORT TERM SWITCH]</t>
  </si>
  <si>
    <t>[# LONG TERM KEEP]</t>
  </si>
  <si>
    <t>MF #</t>
  </si>
  <si>
    <t>Max Life *#</t>
  </si>
  <si>
    <t>Bajaj Life Goal *#</t>
  </si>
  <si>
    <t>Indicators</t>
  </si>
  <si>
    <t>Mid Term Savings</t>
  </si>
  <si>
    <t>RD %</t>
  </si>
  <si>
    <t>Car Debt Clear</t>
  </si>
  <si>
    <t>iPhone Purchase Clear</t>
  </si>
  <si>
    <t>Projected</t>
  </si>
  <si>
    <t>Current</t>
  </si>
  <si>
    <t>% Allocation</t>
  </si>
  <si>
    <t>Category for Allocation</t>
  </si>
  <si>
    <t>Mirae Asset Tax Saver -3K[5th of Month][Start Aug'21][End Mar'23] | START NEW[Parag Parikh Tax Saver Fund Direct Growth]</t>
  </si>
  <si>
    <t>Nippon Sensex - 2K[10th of Month][Start Aug'21][End Mar'23] | START NEW[HDFC Index S&amp;P BSE Sensex]</t>
  </si>
  <si>
    <t>PGIM India Flexi Cap Fund Direct Growth - 2.5K[15th of Month][Start Jan'23]</t>
  </si>
  <si>
    <t>Parag Parikh Flexi Cap [25th of Month][Start Aug'21][End Dec'22] | START NEW [Axis Small Cap]</t>
  </si>
  <si>
    <t>PPF *#</t>
  </si>
  <si>
    <t>[TODO] PPF</t>
  </si>
  <si>
    <t>Sell - invest in ETFs</t>
  </si>
  <si>
    <t>Term Life</t>
  </si>
  <si>
    <t>Max Life</t>
  </si>
  <si>
    <t>Type</t>
  </si>
  <si>
    <t>Company</t>
  </si>
  <si>
    <t>Cover</t>
  </si>
  <si>
    <t>Yearly Instalments</t>
  </si>
  <si>
    <t>90 Lac</t>
  </si>
  <si>
    <t>~9000</t>
  </si>
  <si>
    <t>Life Goal</t>
  </si>
  <si>
    <t xml:space="preserve">Bajaj </t>
  </si>
  <si>
    <t>On Maturity Return</t>
  </si>
  <si>
    <t>3.96 Lac</t>
  </si>
  <si>
    <t>Health Insurance</t>
  </si>
  <si>
    <t>Tata AIG</t>
  </si>
  <si>
    <t>[TODO]</t>
  </si>
  <si>
    <t>N/A</t>
  </si>
  <si>
    <t>Sell - settle the Maa-A2</t>
  </si>
  <si>
    <t>2: SECURE FUTURE</t>
  </si>
  <si>
    <t>1: INVESTMENT PERFORMANCE</t>
  </si>
  <si>
    <t>3: MBA [TODO]</t>
  </si>
  <si>
    <t xml:space="preserve">4: RAISE MONEY </t>
  </si>
  <si>
    <t>MOD Life</t>
  </si>
  <si>
    <t>Parrotprince.com</t>
  </si>
  <si>
    <t>Naya hai vaha YT channel</t>
  </si>
  <si>
    <t>5: LOAN: CAR</t>
  </si>
  <si>
    <t>Cutoff through Month(s)</t>
  </si>
  <si>
    <t>as of 26DEC'22</t>
  </si>
  <si>
    <t>% gain-&gt;</t>
  </si>
  <si>
    <t>&lt;- invested total</t>
  </si>
  <si>
    <t>&lt;- expected return</t>
  </si>
  <si>
    <t>total return -&gt;</t>
  </si>
  <si>
    <t>Disbursed Amount</t>
  </si>
  <si>
    <t>Tenure</t>
  </si>
  <si>
    <t>84 month</t>
  </si>
  <si>
    <t>Outstanding (as of 26DEC'22)</t>
  </si>
  <si>
    <t xml:space="preserve">Total Interest </t>
  </si>
  <si>
    <t>Interest Paid</t>
  </si>
  <si>
    <t>Interest in Next Year</t>
  </si>
  <si>
    <t>[^ 6months only - then merge to Home/InCash-DBS][Dec is last month]</t>
  </si>
  <si>
    <t>as rent to Papa [Start Aug'22]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</si>
</sst>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323130"/>
      <name val="Segoe UI"/>
      <family val="2"/>
    </font>
    <font>
      <sz val="11"/>
      <color rgb="FF32313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4">
    <xf numFmtId="0" fontId="0" fillId="0" borderId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3" fillId="9" borderId="0" applyNumberFormat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0" fillId="2" borderId="0" xfId="0" applyFill="1"/>
    <xf numFmtId="0" fontId="0" fillId="4" borderId="0" xfId="0" applyFill="1"/>
    <xf numFmtId="0" fontId="2" fillId="4" borderId="0" xfId="0" applyFont="1" applyFill="1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4" fillId="4" borderId="0" xfId="0" applyFont="1" applyFill="1"/>
    <xf numFmtId="2" fontId="0" fillId="0" borderId="0" xfId="0" applyNumberForma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NumberFormat="1"/>
    <xf numFmtId="3" fontId="0" fillId="0" borderId="0" xfId="0" applyNumberFormat="1"/>
    <xf numFmtId="0" fontId="9" fillId="0" borderId="0" xfId="0" applyFont="1"/>
    <xf numFmtId="0" fontId="0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5" borderId="1" xfId="0" applyFill="1" applyBorder="1"/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8" fillId="6" borderId="0" xfId="0" applyFont="1" applyFill="1"/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/>
    <xf numFmtId="0" fontId="0" fillId="3" borderId="3" xfId="0" applyFill="1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/>
    <xf numFmtId="0" fontId="4" fillId="2" borderId="2" xfId="0" applyFont="1" applyFill="1" applyBorder="1"/>
    <xf numFmtId="0" fontId="3" fillId="2" borderId="2" xfId="0" applyFont="1" applyFill="1" applyBorder="1"/>
    <xf numFmtId="0" fontId="0" fillId="0" borderId="0" xfId="0" applyAlignment="1">
      <alignment vertical="center"/>
    </xf>
    <xf numFmtId="0" fontId="4" fillId="3" borderId="2" xfId="0" applyFont="1" applyFill="1" applyBorder="1"/>
    <xf numFmtId="0" fontId="10" fillId="0" borderId="0" xfId="0" applyFont="1"/>
    <xf numFmtId="4" fontId="0" fillId="5" borderId="5" xfId="0" applyNumberFormat="1" applyFill="1" applyBorder="1"/>
    <xf numFmtId="0" fontId="0" fillId="0" borderId="0" xfId="0" applyBorder="1"/>
    <xf numFmtId="0" fontId="0" fillId="0" borderId="0" xfId="0" applyFont="1" applyBorder="1" applyAlignment="1">
      <alignment horizontal="left" vertical="center"/>
    </xf>
    <xf numFmtId="0" fontId="0" fillId="0" borderId="0" xfId="0" applyNumberFormat="1" applyBorder="1"/>
    <xf numFmtId="0" fontId="0" fillId="0" borderId="0" xfId="0" applyFont="1" applyBorder="1"/>
    <xf numFmtId="0" fontId="0" fillId="0" borderId="0" xfId="0" applyBorder="1" applyAlignment="1">
      <alignment wrapText="1"/>
    </xf>
    <xf numFmtId="0" fontId="11" fillId="0" borderId="0" xfId="0" applyFont="1"/>
    <xf numFmtId="3" fontId="11" fillId="0" borderId="0" xfId="0" applyNumberFormat="1" applyFont="1"/>
    <xf numFmtId="0" fontId="0" fillId="5" borderId="5" xfId="0" applyFill="1" applyBorder="1"/>
    <xf numFmtId="4" fontId="0" fillId="0" borderId="0" xfId="0" applyNumberFormat="1"/>
    <xf numFmtId="9" fontId="0" fillId="0" borderId="0" xfId="0" applyNumberFormat="1" applyBorder="1"/>
    <xf numFmtId="8" fontId="0" fillId="0" borderId="0" xfId="0" applyNumberFormat="1" applyFont="1" applyBorder="1" applyAlignment="1">
      <alignment horizontal="left" vertical="center"/>
    </xf>
    <xf numFmtId="0" fontId="12" fillId="5" borderId="1" xfId="0" applyFont="1" applyFill="1" applyBorder="1"/>
    <xf numFmtId="0" fontId="12" fillId="0" borderId="0" xfId="0" applyFont="1" applyBorder="1"/>
    <xf numFmtId="0" fontId="12" fillId="0" borderId="0" xfId="0" applyFont="1" applyBorder="1" applyAlignment="1">
      <alignment horizontal="left" vertical="center"/>
    </xf>
    <xf numFmtId="9" fontId="12" fillId="0" borderId="0" xfId="0" applyNumberFormat="1" applyFont="1" applyBorder="1"/>
    <xf numFmtId="0" fontId="12" fillId="0" borderId="0" xfId="0" applyFont="1" applyBorder="1" applyAlignment="1">
      <alignment wrapText="1"/>
    </xf>
    <xf numFmtId="3" fontId="0" fillId="0" borderId="0" xfId="0" applyNumberFormat="1" applyFont="1" applyBorder="1" applyAlignment="1">
      <alignment horizontal="left" vertical="center"/>
    </xf>
    <xf numFmtId="0" fontId="0" fillId="3" borderId="0" xfId="0" applyFill="1"/>
    <xf numFmtId="0" fontId="2" fillId="0" borderId="0" xfId="0" applyFont="1" applyBorder="1" applyAlignment="1">
      <alignment wrapText="1"/>
    </xf>
    <xf numFmtId="0" fontId="1" fillId="10" borderId="0" xfId="0" applyNumberFormat="1" applyFont="1" applyFill="1"/>
    <xf numFmtId="0" fontId="0" fillId="11" borderId="4" xfId="0" applyFill="1" applyBorder="1"/>
    <xf numFmtId="0" fontId="0" fillId="11" borderId="3" xfId="0" applyFill="1" applyBorder="1"/>
    <xf numFmtId="0" fontId="0" fillId="3" borderId="0" xfId="0" applyFill="1" applyAlignment="1">
      <alignment wrapText="1"/>
    </xf>
    <xf numFmtId="0" fontId="16" fillId="6" borderId="0" xfId="0" applyFont="1" applyFill="1"/>
    <xf numFmtId="0" fontId="1" fillId="0" borderId="1" xfId="0" applyFont="1" applyBorder="1"/>
    <xf numFmtId="0" fontId="17" fillId="7" borderId="1" xfId="1" applyFont="1" applyBorder="1"/>
    <xf numFmtId="0" fontId="18" fillId="8" borderId="1" xfId="2" applyFont="1" applyBorder="1"/>
    <xf numFmtId="0" fontId="13" fillId="9" borderId="1" xfId="3" applyBorder="1"/>
    <xf numFmtId="0" fontId="14" fillId="7" borderId="1" xfId="1" applyBorder="1"/>
    <xf numFmtId="0" fontId="15" fillId="8" borderId="1" xfId="2" applyBorder="1"/>
    <xf numFmtId="0" fontId="15" fillId="8" borderId="1" xfId="2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9" fillId="8" borderId="1" xfId="2" applyFont="1" applyBorder="1"/>
    <xf numFmtId="0" fontId="19" fillId="7" borderId="1" xfId="1" applyFont="1" applyBorder="1"/>
    <xf numFmtId="2" fontId="0" fillId="12" borderId="0" xfId="0" applyNumberFormat="1" applyFill="1"/>
    <xf numFmtId="0" fontId="0" fillId="13" borderId="0" xfId="0" applyFill="1"/>
    <xf numFmtId="0" fontId="0" fillId="14" borderId="0" xfId="0" applyFill="1"/>
  </cellXfs>
  <cellStyles count="4">
    <cellStyle name="40% - Accent1" xfId="3" builtinId="31"/>
    <cellStyle name="Good" xfId="1" builtinId="26"/>
    <cellStyle name="Neutral" xfId="2" builtinId="28"/>
    <cellStyle name="Normal" xfId="0" builtinId="0"/>
  </cellStyles>
  <dxfs count="43"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theme="7"/>
      </font>
    </dxf>
    <dxf>
      <font>
        <color theme="8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theme="7"/>
      </font>
    </dxf>
    <dxf>
      <font>
        <color theme="8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1140C-4BE6-4DE4-93FB-AAF1DE17E19C}" name="ExtraEveryMonth" displayName="ExtraEveryMonth" ref="A27:H107" totalsRowShown="0" headerRowDxfId="42">
  <autoFilter ref="A27:H107" xr:uid="{EAB1140C-4BE6-4DE4-93FB-AAF1DE17E19C}"/>
  <tableColumns count="8">
    <tableColumn id="1" xr3:uid="{9D94D9C6-B4DA-4545-A46C-4DC2768D6FD3}" name="Particular" dataDxfId="41"/>
    <tableColumn id="2" xr3:uid="{6717881D-2300-4D50-8806-3401BC619BFD}" name="Money"/>
    <tableColumn id="3" xr3:uid="{3F056D63-B00D-4759-B618-2694743A7532}" name="Payment from Bank"/>
    <tableColumn id="4" xr3:uid="{44600B1F-E0B0-4FE8-AF63-B81966AEAFA2}" name="Settle from Bank" dataDxfId="40"/>
    <tableColumn id="5" xr3:uid="{CA84091B-529F-42DD-AB6D-8C21002CC099}" name="Cause"/>
    <tableColumn id="6" xr3:uid="{A06E4F07-8568-4FFE-A6DA-EED77A68A3DB}" name="Status" dataDxfId="39"/>
    <tableColumn id="7" xr3:uid="{5A969EB3-F0B7-4795-9CE2-E15135959646}" name="Month" dataDxfId="38"/>
    <tableColumn id="8" xr3:uid="{FF952BEA-5C19-415A-BE02-1324662D0DBE}" name="Comments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D2728F-A954-4819-BCA1-42C6BB5AF3EF}" name="ExpenseTrack" displayName="ExpenseTrack" ref="A1:I25" totalsRowShown="0" headerRowDxfId="36">
  <autoFilter ref="A1:I25" xr:uid="{7AD2728F-A954-4819-BCA1-42C6BB5AF3EF}"/>
  <tableColumns count="9">
    <tableColumn id="1" xr3:uid="{C54E3E68-D823-4633-B647-43E2D2EBE03D}" name="Particular"/>
    <tableColumn id="2" xr3:uid="{9326109D-5E06-4604-829A-9DA6C9CE6C54}" name="Sub" dataDxfId="35"/>
    <tableColumn id="3" xr3:uid="{1530A0F3-9247-438C-A369-DF1F0765E081}" name="Rs"/>
    <tableColumn id="4" xr3:uid="{913C98B2-F355-488D-8E6F-3FDAC42510CA}" name="Bank"/>
    <tableColumn id="5" xr3:uid="{F84A3311-EE90-46A1-8DFC-B8DF66DD4F09}" name="Compromise"/>
    <tableColumn id="6" xr3:uid="{F0144FD3-9086-4514-8CF4-810C1EE85470}" name="Cause"/>
    <tableColumn id="7" xr3:uid="{5C1445D8-885D-4098-BF85-9E199BB5F3FD}" name="Done/Not Done"/>
    <tableColumn id="8" xr3:uid="{8D2A9A4C-24EC-408C-9531-2E4D39E1FBCD}" name="Transfer Day of Month"/>
    <tableColumn id="9" xr3:uid="{844651AC-E3C5-4216-897D-9746DA94157A}" name="Comment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E1579-F105-42AD-B0A4-7BA3111ED67C}" name="Table1" displayName="Table1" ref="A6:E14" totalsRowShown="0" headerRowDxfId="34">
  <autoFilter ref="A6:E14" xr:uid="{344E1579-F105-42AD-B0A4-7BA3111ED67C}"/>
  <tableColumns count="5">
    <tableColumn id="1" xr3:uid="{F8E0C7D3-56D1-4413-9187-49343E711D78}" name="Rs"/>
    <tableColumn id="2" xr3:uid="{8F92BBE9-4604-44FC-BE8A-4D8E776D167A}" name="Sector"/>
    <tableColumn id="3" xr3:uid="{D4F8413C-8490-4EA1-9EA8-E0DD8E9C0639}" name="Mode"/>
    <tableColumn id="4" xr3:uid="{53DAC18F-F68A-4943-8D20-23BD82B6917C}" name="Status"/>
    <tableColumn id="5" xr3:uid="{178A2C75-8578-4076-A439-056A2F550CB3}" name="Actual Investment Decla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964901-5F4B-460B-926F-CE586CDB3E45}" name="Table4" displayName="Table4" ref="A17:F20" totalsRowShown="0" headerRowDxfId="33">
  <autoFilter ref="A17:F20" xr:uid="{B2964901-5F4B-460B-926F-CE586CDB3E45}"/>
  <tableColumns count="6">
    <tableColumn id="1" xr3:uid="{60D363DC-FD46-4441-A1C5-01E30F41BC37}" name="Name"/>
    <tableColumn id="2" xr3:uid="{9598BF18-7A67-4C5F-B772-BA1F8F53A116}" name="Category"/>
    <tableColumn id="3" xr3:uid="{82D1F4FF-CE1B-400D-AD85-DD863436B553}" name="Unit"/>
    <tableColumn id="4" xr3:uid="{C2047BBE-6156-4CFE-A49B-01C28454A890}" name="Current Amount"/>
    <tableColumn id="5" xr3:uid="{8DDEE30A-D956-4505-9BCB-0715700C3B1C}" name="Invested Amount"/>
    <tableColumn id="6" xr3:uid="{04422BDD-30AB-4E5D-9F3F-44A284537165}" name="Platfor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145BB3-112E-4B93-9F0C-579C10D81536}" name="Table5" displayName="Table5" ref="A21:G33" totalsRowShown="0" headerRowDxfId="32">
  <autoFilter ref="A21:G33" xr:uid="{48145BB3-112E-4B93-9F0C-579C10D81536}"/>
  <tableColumns count="7">
    <tableColumn id="1" xr3:uid="{5C3AC751-65B8-4FB0-BF62-2EC169180B78}" name="Name"/>
    <tableColumn id="2" xr3:uid="{CE2081DF-D584-44D4-8E6B-609F00D0302F}" name="Category"/>
    <tableColumn id="3" xr3:uid="{7C1076FB-337B-436E-8054-4185698C5317}" name="Unit"/>
    <tableColumn id="4" xr3:uid="{8F193749-F741-43A8-87E9-08C58E219F2A}" name="Current Amount"/>
    <tableColumn id="5" xr3:uid="{A3E9F02B-13C0-4F0D-B617-C3B47C57AC31}" name="Invested Amount"/>
    <tableColumn id="6" xr3:uid="{2B820C61-C0EA-4FD7-8452-03A811431FC2}" name="Platform"/>
    <tableColumn id="7" xr3:uid="{2D07516C-064C-4570-A722-153D8F0663DB}" name="Plan of 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F78C27-E549-42DF-8144-BD35382538CA}" name="Table6" displayName="Table6" ref="A38:F41" totalsRowShown="0">
  <autoFilter ref="A38:F41" xr:uid="{7CF78C27-E549-42DF-8144-BD35382538CA}"/>
  <tableColumns count="6">
    <tableColumn id="1" xr3:uid="{D503695C-52D1-41D3-A551-944D04A34F1A}" name="Type"/>
    <tableColumn id="2" xr3:uid="{8A08AFDD-FC93-41D3-BAE2-5B3F5AD27667}" name="Company"/>
    <tableColumn id="3" xr3:uid="{8D66F48F-10A8-469E-AD52-9A35E60DF2F6}" name="Cover"/>
    <tableColumn id="4" xr3:uid="{DC1B289B-D2C5-4BFE-93AF-104DC55C702E}" name="Yearly Instalments" dataDxfId="31"/>
    <tableColumn id="5" xr3:uid="{166F9D1C-E25C-4771-A30C-011F7FB8B3BF}" name="On Maturity Return"/>
    <tableColumn id="6" xr3:uid="{BDE94F5D-C23E-4033-9CDD-1612F612E90B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EA2E-854B-41C1-8819-79EEB1896E8C}">
  <dimension ref="A1:K107"/>
  <sheetViews>
    <sheetView topLeftCell="B16" zoomScaleNormal="100" workbookViewId="0">
      <selection activeCell="I12" sqref="I12"/>
    </sheetView>
  </sheetViews>
  <sheetFormatPr defaultRowHeight="14.5" x14ac:dyDescent="0.35"/>
  <cols>
    <col min="1" max="1" width="15.7265625" customWidth="1"/>
    <col min="2" max="2" width="15.7265625" bestFit="1" customWidth="1"/>
    <col min="3" max="3" width="11.6328125" customWidth="1"/>
    <col min="4" max="4" width="9.36328125" customWidth="1"/>
    <col min="5" max="5" width="9.7265625" customWidth="1"/>
    <col min="6" max="6" width="8.7265625" bestFit="1" customWidth="1"/>
    <col min="7" max="7" width="11.08984375" customWidth="1"/>
    <col min="8" max="8" width="21.81640625" customWidth="1"/>
    <col min="9" max="9" width="61.26953125" bestFit="1" customWidth="1"/>
    <col min="10" max="10" width="7.81640625" customWidth="1"/>
  </cols>
  <sheetData>
    <row r="1" spans="1:9" x14ac:dyDescent="0.35">
      <c r="A1" s="31" t="s">
        <v>17</v>
      </c>
      <c r="B1" s="31" t="s">
        <v>18</v>
      </c>
      <c r="C1" s="31" t="s">
        <v>20</v>
      </c>
      <c r="D1" s="31" t="s">
        <v>19</v>
      </c>
      <c r="E1" s="31" t="s">
        <v>52</v>
      </c>
      <c r="F1" s="31" t="s">
        <v>21</v>
      </c>
      <c r="G1" s="31" t="s">
        <v>28</v>
      </c>
      <c r="H1" s="31" t="s">
        <v>31</v>
      </c>
      <c r="I1" s="31" t="s">
        <v>127</v>
      </c>
    </row>
    <row r="2" spans="1:9" x14ac:dyDescent="0.35">
      <c r="A2" s="33" t="s">
        <v>0</v>
      </c>
      <c r="B2" s="40" t="s">
        <v>1</v>
      </c>
      <c r="C2" s="12">
        <v>6000</v>
      </c>
      <c r="D2" s="12" t="s">
        <v>4</v>
      </c>
      <c r="E2" s="12" t="s">
        <v>53</v>
      </c>
      <c r="F2" s="12" t="s">
        <v>137</v>
      </c>
      <c r="G2" t="s">
        <v>55</v>
      </c>
      <c r="H2">
        <v>1</v>
      </c>
    </row>
    <row r="3" spans="1:9" x14ac:dyDescent="0.35">
      <c r="A3" s="33" t="s">
        <v>0</v>
      </c>
      <c r="B3" s="43" t="s">
        <v>142</v>
      </c>
      <c r="C3" s="12">
        <v>2000</v>
      </c>
      <c r="D3" s="12" t="s">
        <v>5</v>
      </c>
      <c r="E3" s="12" t="s">
        <v>53</v>
      </c>
      <c r="F3" s="12" t="s">
        <v>137</v>
      </c>
      <c r="G3" t="s">
        <v>29</v>
      </c>
      <c r="H3">
        <v>12</v>
      </c>
      <c r="I3" t="s">
        <v>369</v>
      </c>
    </row>
    <row r="4" spans="1:9" x14ac:dyDescent="0.35">
      <c r="A4" s="33" t="s">
        <v>0</v>
      </c>
      <c r="B4" s="34" t="s">
        <v>10</v>
      </c>
      <c r="C4">
        <v>3000</v>
      </c>
      <c r="D4" t="s">
        <v>4</v>
      </c>
      <c r="E4" t="s">
        <v>53</v>
      </c>
      <c r="F4" t="s">
        <v>137</v>
      </c>
      <c r="G4" t="s">
        <v>55</v>
      </c>
      <c r="H4">
        <v>1</v>
      </c>
      <c r="I4" t="s">
        <v>370</v>
      </c>
    </row>
    <row r="5" spans="1:9" x14ac:dyDescent="0.35">
      <c r="A5" s="33" t="s">
        <v>0</v>
      </c>
      <c r="B5" s="34" t="s">
        <v>2</v>
      </c>
      <c r="C5">
        <v>1500</v>
      </c>
      <c r="D5" t="s">
        <v>4</v>
      </c>
      <c r="E5" t="s">
        <v>53</v>
      </c>
      <c r="F5" t="s">
        <v>137</v>
      </c>
      <c r="G5" t="s">
        <v>55</v>
      </c>
      <c r="H5">
        <v>1</v>
      </c>
    </row>
    <row r="6" spans="1:9" x14ac:dyDescent="0.35">
      <c r="A6" s="33" t="s">
        <v>0</v>
      </c>
      <c r="B6" s="34" t="s">
        <v>3</v>
      </c>
      <c r="C6">
        <v>2500</v>
      </c>
      <c r="D6" t="s">
        <v>5</v>
      </c>
      <c r="E6" t="s">
        <v>53</v>
      </c>
      <c r="F6" t="s">
        <v>137</v>
      </c>
      <c r="G6" t="s">
        <v>29</v>
      </c>
      <c r="H6">
        <v>8</v>
      </c>
      <c r="I6" t="s">
        <v>125</v>
      </c>
    </row>
    <row r="7" spans="1:9" x14ac:dyDescent="0.35">
      <c r="A7" s="33" t="s">
        <v>0</v>
      </c>
      <c r="B7" s="34" t="s">
        <v>6</v>
      </c>
      <c r="C7">
        <v>1500</v>
      </c>
      <c r="D7" t="s">
        <v>5</v>
      </c>
      <c r="E7" t="s">
        <v>53</v>
      </c>
      <c r="F7" t="s">
        <v>137</v>
      </c>
      <c r="G7" t="s">
        <v>29</v>
      </c>
      <c r="H7">
        <v>25</v>
      </c>
      <c r="I7" t="s">
        <v>126</v>
      </c>
    </row>
    <row r="8" spans="1:9" x14ac:dyDescent="0.35">
      <c r="A8" s="33" t="s">
        <v>0</v>
      </c>
      <c r="B8" s="34" t="s">
        <v>7</v>
      </c>
      <c r="C8">
        <v>500</v>
      </c>
      <c r="D8" t="s">
        <v>5</v>
      </c>
      <c r="E8" t="s">
        <v>54</v>
      </c>
      <c r="F8" t="s">
        <v>137</v>
      </c>
      <c r="G8" t="s">
        <v>29</v>
      </c>
      <c r="H8">
        <v>1</v>
      </c>
      <c r="I8" t="s">
        <v>126</v>
      </c>
    </row>
    <row r="9" spans="1:9" x14ac:dyDescent="0.35">
      <c r="A9" s="33" t="s">
        <v>0</v>
      </c>
      <c r="B9" s="34" t="s">
        <v>30</v>
      </c>
      <c r="C9">
        <v>500</v>
      </c>
      <c r="D9" t="s">
        <v>5</v>
      </c>
      <c r="E9" t="s">
        <v>54</v>
      </c>
      <c r="F9" t="s">
        <v>137</v>
      </c>
      <c r="G9" t="s">
        <v>29</v>
      </c>
      <c r="H9">
        <v>1</v>
      </c>
      <c r="I9" t="s">
        <v>126</v>
      </c>
    </row>
    <row r="10" spans="1:9" x14ac:dyDescent="0.35">
      <c r="A10" s="33" t="s">
        <v>0</v>
      </c>
      <c r="B10" s="41" t="s">
        <v>13</v>
      </c>
      <c r="C10" s="11">
        <v>1800</v>
      </c>
      <c r="D10" s="11" t="s">
        <v>5</v>
      </c>
      <c r="E10" s="11" t="s">
        <v>54</v>
      </c>
      <c r="F10" t="s">
        <v>137</v>
      </c>
      <c r="G10" t="s">
        <v>29</v>
      </c>
    </row>
    <row r="11" spans="1:9" x14ac:dyDescent="0.35">
      <c r="A11" s="33" t="s">
        <v>0</v>
      </c>
      <c r="B11" s="34" t="s">
        <v>8</v>
      </c>
      <c r="C11">
        <v>200</v>
      </c>
      <c r="D11" t="s">
        <v>5</v>
      </c>
      <c r="E11" t="s">
        <v>53</v>
      </c>
      <c r="F11" t="s">
        <v>137</v>
      </c>
      <c r="G11" t="s">
        <v>29</v>
      </c>
    </row>
    <row r="12" spans="1:9" x14ac:dyDescent="0.35">
      <c r="A12" s="38" t="s">
        <v>9</v>
      </c>
      <c r="B12" s="39" t="s">
        <v>187</v>
      </c>
      <c r="C12">
        <v>2501</v>
      </c>
      <c r="D12" t="s">
        <v>14</v>
      </c>
      <c r="E12" t="s">
        <v>53</v>
      </c>
      <c r="F12" t="s">
        <v>15</v>
      </c>
      <c r="G12" t="s">
        <v>55</v>
      </c>
      <c r="H12">
        <v>10</v>
      </c>
      <c r="I12" s="6" t="s">
        <v>188</v>
      </c>
    </row>
    <row r="13" spans="1:9" x14ac:dyDescent="0.35">
      <c r="A13" s="35" t="s">
        <v>9</v>
      </c>
      <c r="B13" s="36" t="s">
        <v>11</v>
      </c>
      <c r="C13">
        <v>1500</v>
      </c>
      <c r="D13" t="s">
        <v>5</v>
      </c>
      <c r="E13" t="s">
        <v>54</v>
      </c>
      <c r="F13" t="s">
        <v>137</v>
      </c>
      <c r="G13" t="s">
        <v>55</v>
      </c>
      <c r="H13">
        <v>10</v>
      </c>
      <c r="I13" t="s">
        <v>125</v>
      </c>
    </row>
    <row r="14" spans="1:9" x14ac:dyDescent="0.35">
      <c r="A14" s="35" t="s">
        <v>9</v>
      </c>
      <c r="B14" s="37" t="s">
        <v>12</v>
      </c>
      <c r="C14">
        <v>11000</v>
      </c>
      <c r="D14" t="s">
        <v>5</v>
      </c>
      <c r="E14" t="s">
        <v>53</v>
      </c>
      <c r="F14" t="s">
        <v>15</v>
      </c>
      <c r="G14" t="s">
        <v>55</v>
      </c>
      <c r="H14">
        <v>10</v>
      </c>
    </row>
    <row r="15" spans="1:9" x14ac:dyDescent="0.35">
      <c r="A15" t="s">
        <v>48</v>
      </c>
      <c r="B15" s="3" t="s">
        <v>139</v>
      </c>
      <c r="C15">
        <v>3300</v>
      </c>
      <c r="D15" t="s">
        <v>14</v>
      </c>
      <c r="E15" t="s">
        <v>53</v>
      </c>
      <c r="F15" t="s">
        <v>16</v>
      </c>
      <c r="G15" t="s">
        <v>55</v>
      </c>
      <c r="H15">
        <v>10</v>
      </c>
      <c r="I15" t="s">
        <v>138</v>
      </c>
    </row>
    <row r="16" spans="1:9" x14ac:dyDescent="0.35">
      <c r="A16" s="42" t="s">
        <v>22</v>
      </c>
      <c r="B16" s="3" t="s">
        <v>23</v>
      </c>
      <c r="C16">
        <v>2000</v>
      </c>
      <c r="D16" t="s">
        <v>27</v>
      </c>
      <c r="E16" t="s">
        <v>53</v>
      </c>
      <c r="F16" t="s">
        <v>16</v>
      </c>
      <c r="G16" t="s">
        <v>55</v>
      </c>
      <c r="H16">
        <v>8</v>
      </c>
    </row>
    <row r="17" spans="1:9" x14ac:dyDescent="0.35">
      <c r="A17" s="42" t="s">
        <v>22</v>
      </c>
      <c r="B17" s="3" t="s">
        <v>183</v>
      </c>
      <c r="C17">
        <v>3800</v>
      </c>
      <c r="D17" t="s">
        <v>5</v>
      </c>
      <c r="E17" t="s">
        <v>53</v>
      </c>
      <c r="F17" t="s">
        <v>16</v>
      </c>
      <c r="G17" t="s">
        <v>29</v>
      </c>
      <c r="H17">
        <v>8</v>
      </c>
      <c r="I17" t="s">
        <v>184</v>
      </c>
    </row>
    <row r="18" spans="1:9" x14ac:dyDescent="0.35">
      <c r="A18" t="s">
        <v>51</v>
      </c>
      <c r="B18" s="3" t="s">
        <v>185</v>
      </c>
      <c r="C18">
        <v>3000</v>
      </c>
      <c r="D18" t="s">
        <v>14</v>
      </c>
      <c r="E18" t="s">
        <v>53</v>
      </c>
      <c r="F18" t="s">
        <v>15</v>
      </c>
      <c r="G18" t="s">
        <v>55</v>
      </c>
      <c r="H18">
        <v>15</v>
      </c>
      <c r="I18" t="s">
        <v>186</v>
      </c>
    </row>
    <row r="19" spans="1:9" x14ac:dyDescent="0.35">
      <c r="A19" s="12" t="s">
        <v>49</v>
      </c>
      <c r="B19" s="13" t="s">
        <v>2</v>
      </c>
      <c r="C19" s="12">
        <v>500</v>
      </c>
      <c r="D19" s="12" t="s">
        <v>14</v>
      </c>
      <c r="E19" s="12" t="s">
        <v>53</v>
      </c>
      <c r="F19" s="12" t="s">
        <v>16</v>
      </c>
      <c r="G19" t="s">
        <v>55</v>
      </c>
      <c r="H19" s="11"/>
    </row>
    <row r="20" spans="1:9" x14ac:dyDescent="0.35">
      <c r="A20" t="s">
        <v>49</v>
      </c>
      <c r="B20" s="3" t="s">
        <v>140</v>
      </c>
      <c r="C20">
        <v>5002</v>
      </c>
      <c r="D20" t="s">
        <v>14</v>
      </c>
      <c r="E20" t="s">
        <v>53</v>
      </c>
      <c r="F20" t="s">
        <v>16</v>
      </c>
      <c r="G20" t="s">
        <v>55</v>
      </c>
      <c r="H20">
        <v>25</v>
      </c>
      <c r="I20" t="s">
        <v>141</v>
      </c>
    </row>
    <row r="21" spans="1:9" x14ac:dyDescent="0.35">
      <c r="A21" s="12" t="s">
        <v>49</v>
      </c>
      <c r="B21" s="13" t="s">
        <v>10</v>
      </c>
      <c r="C21" s="12">
        <v>2000</v>
      </c>
      <c r="D21" s="12" t="s">
        <v>14</v>
      </c>
      <c r="E21" s="12" t="s">
        <v>53</v>
      </c>
      <c r="F21" s="11" t="s">
        <v>16</v>
      </c>
      <c r="G21" t="s">
        <v>55</v>
      </c>
      <c r="H21" s="11"/>
      <c r="I21" s="11"/>
    </row>
    <row r="22" spans="1:9" x14ac:dyDescent="0.35">
      <c r="A22" t="s">
        <v>24</v>
      </c>
      <c r="B22" s="3" t="s">
        <v>143</v>
      </c>
      <c r="C22">
        <v>800</v>
      </c>
      <c r="D22" t="s">
        <v>14</v>
      </c>
      <c r="E22" t="s">
        <v>53</v>
      </c>
      <c r="F22" t="s">
        <v>16</v>
      </c>
      <c r="G22" t="s">
        <v>55</v>
      </c>
      <c r="H22">
        <v>10</v>
      </c>
      <c r="I22" t="s">
        <v>144</v>
      </c>
    </row>
    <row r="23" spans="1:9" x14ac:dyDescent="0.35">
      <c r="A23" t="s">
        <v>50</v>
      </c>
      <c r="B23" s="3" t="s">
        <v>32</v>
      </c>
      <c r="C23">
        <v>1200</v>
      </c>
      <c r="D23" t="s">
        <v>14</v>
      </c>
      <c r="E23" t="s">
        <v>53</v>
      </c>
      <c r="F23" t="s">
        <v>16</v>
      </c>
      <c r="G23" t="s">
        <v>55</v>
      </c>
      <c r="H23">
        <v>10</v>
      </c>
    </row>
    <row r="24" spans="1:9" x14ac:dyDescent="0.35">
      <c r="A24" t="s">
        <v>26</v>
      </c>
      <c r="B24" s="4" t="s">
        <v>25</v>
      </c>
      <c r="C24" s="1">
        <v>1000</v>
      </c>
      <c r="D24" s="1"/>
      <c r="E24" s="1"/>
      <c r="F24" s="1" t="s">
        <v>16</v>
      </c>
    </row>
    <row r="25" spans="1:9" x14ac:dyDescent="0.35">
      <c r="C25" s="1"/>
      <c r="D25" s="1"/>
      <c r="E25" s="1"/>
      <c r="F25" s="1"/>
    </row>
    <row r="26" spans="1:9" ht="29" x14ac:dyDescent="0.35">
      <c r="A26" s="30" t="s">
        <v>136</v>
      </c>
      <c r="B26" s="8"/>
      <c r="C26" s="1"/>
      <c r="D26" s="1"/>
      <c r="E26" s="1"/>
      <c r="F26" s="1"/>
    </row>
    <row r="27" spans="1:9" x14ac:dyDescent="0.35">
      <c r="A27" s="5" t="s">
        <v>17</v>
      </c>
      <c r="B27" s="5" t="s">
        <v>70</v>
      </c>
      <c r="C27" s="5" t="s">
        <v>72</v>
      </c>
      <c r="D27" s="5" t="s">
        <v>71</v>
      </c>
      <c r="E27" s="5" t="s">
        <v>21</v>
      </c>
      <c r="F27" s="5" t="s">
        <v>59</v>
      </c>
      <c r="G27" s="5" t="s">
        <v>41</v>
      </c>
      <c r="H27" s="5" t="s">
        <v>127</v>
      </c>
    </row>
    <row r="28" spans="1:9" x14ac:dyDescent="0.35">
      <c r="A28" s="27" t="s">
        <v>75</v>
      </c>
      <c r="B28">
        <v>600</v>
      </c>
      <c r="C28" s="9" t="s">
        <v>14</v>
      </c>
      <c r="E28" t="s">
        <v>131</v>
      </c>
      <c r="F28" t="s">
        <v>55</v>
      </c>
      <c r="G28" t="s">
        <v>76</v>
      </c>
      <c r="H28" s="10"/>
    </row>
    <row r="29" spans="1:9" x14ac:dyDescent="0.35">
      <c r="A29" s="27" t="s">
        <v>11</v>
      </c>
      <c r="B29">
        <f>3035.4+2023.6+2550</f>
        <v>7609</v>
      </c>
      <c r="C29" s="9" t="s">
        <v>56</v>
      </c>
      <c r="D29" t="s">
        <v>5</v>
      </c>
      <c r="E29" t="s">
        <v>132</v>
      </c>
      <c r="F29" t="s">
        <v>29</v>
      </c>
      <c r="G29" t="s">
        <v>76</v>
      </c>
      <c r="H29" s="10" t="s">
        <v>228</v>
      </c>
    </row>
    <row r="30" spans="1:9" x14ac:dyDescent="0.35">
      <c r="A30" s="27" t="s">
        <v>77</v>
      </c>
      <c r="B30">
        <v>3300</v>
      </c>
      <c r="C30" s="9" t="s">
        <v>14</v>
      </c>
      <c r="D30" t="s">
        <v>5</v>
      </c>
      <c r="E30" t="s">
        <v>132</v>
      </c>
      <c r="F30" t="s">
        <v>55</v>
      </c>
      <c r="G30" t="s">
        <v>76</v>
      </c>
      <c r="H30" s="10"/>
    </row>
    <row r="31" spans="1:9" x14ac:dyDescent="0.35">
      <c r="A31" s="27" t="s">
        <v>74</v>
      </c>
      <c r="B31">
        <v>1500</v>
      </c>
      <c r="C31" s="9" t="s">
        <v>5</v>
      </c>
      <c r="D31" t="s">
        <v>5</v>
      </c>
      <c r="E31" t="s">
        <v>132</v>
      </c>
      <c r="F31" t="s">
        <v>73</v>
      </c>
      <c r="G31" t="s">
        <v>78</v>
      </c>
      <c r="H31" s="10"/>
    </row>
    <row r="32" spans="1:9" x14ac:dyDescent="0.35">
      <c r="A32" s="27" t="s">
        <v>79</v>
      </c>
      <c r="B32">
        <v>4000</v>
      </c>
      <c r="C32" s="9" t="s">
        <v>14</v>
      </c>
      <c r="D32" t="s">
        <v>5</v>
      </c>
      <c r="E32" t="s">
        <v>15</v>
      </c>
      <c r="F32" t="s">
        <v>55</v>
      </c>
      <c r="G32" t="s">
        <v>78</v>
      </c>
      <c r="H32" s="10"/>
    </row>
    <row r="33" spans="1:11" x14ac:dyDescent="0.35">
      <c r="A33" s="27" t="s">
        <v>80</v>
      </c>
      <c r="B33">
        <v>1220</v>
      </c>
      <c r="C33" s="9" t="s">
        <v>27</v>
      </c>
      <c r="D33" t="s">
        <v>5</v>
      </c>
      <c r="E33" t="s">
        <v>131</v>
      </c>
      <c r="F33" t="s">
        <v>29</v>
      </c>
      <c r="G33" t="s">
        <v>78</v>
      </c>
      <c r="H33" s="10"/>
    </row>
    <row r="34" spans="1:11" x14ac:dyDescent="0.35">
      <c r="A34" s="27" t="s">
        <v>11</v>
      </c>
      <c r="B34">
        <v>2670</v>
      </c>
      <c r="C34" s="9" t="s">
        <v>5</v>
      </c>
      <c r="D34" t="s">
        <v>56</v>
      </c>
      <c r="E34" t="s">
        <v>131</v>
      </c>
      <c r="F34" t="s">
        <v>29</v>
      </c>
      <c r="G34" t="s">
        <v>81</v>
      </c>
      <c r="H34" s="10" t="s">
        <v>229</v>
      </c>
    </row>
    <row r="35" spans="1:11" x14ac:dyDescent="0.35">
      <c r="A35" s="27" t="s">
        <v>82</v>
      </c>
      <c r="B35">
        <v>3420</v>
      </c>
      <c r="C35" s="9" t="s">
        <v>5</v>
      </c>
      <c r="D35" t="s">
        <v>4</v>
      </c>
      <c r="E35" t="s">
        <v>131</v>
      </c>
      <c r="F35" t="s">
        <v>29</v>
      </c>
      <c r="G35" t="s">
        <v>81</v>
      </c>
      <c r="H35" s="10"/>
    </row>
    <row r="36" spans="1:11" x14ac:dyDescent="0.35">
      <c r="A36" s="27" t="s">
        <v>11</v>
      </c>
      <c r="B36">
        <v>4439.78</v>
      </c>
      <c r="C36" s="9" t="s">
        <v>56</v>
      </c>
      <c r="D36" t="s">
        <v>5</v>
      </c>
      <c r="E36" t="s">
        <v>132</v>
      </c>
      <c r="F36" t="s">
        <v>55</v>
      </c>
      <c r="G36" t="s">
        <v>83</v>
      </c>
      <c r="H36" s="10" t="s">
        <v>90</v>
      </c>
    </row>
    <row r="37" spans="1:11" x14ac:dyDescent="0.35">
      <c r="A37" s="27" t="s">
        <v>84</v>
      </c>
      <c r="B37">
        <v>1953</v>
      </c>
      <c r="C37" s="9" t="s">
        <v>56</v>
      </c>
      <c r="D37" t="s">
        <v>14</v>
      </c>
      <c r="E37" t="s">
        <v>131</v>
      </c>
      <c r="F37" t="s">
        <v>73</v>
      </c>
      <c r="G37" t="s">
        <v>83</v>
      </c>
      <c r="H37" s="10" t="s">
        <v>90</v>
      </c>
      <c r="J37" s="15"/>
      <c r="K37" s="16"/>
    </row>
    <row r="38" spans="1:11" x14ac:dyDescent="0.35">
      <c r="A38" s="27" t="s">
        <v>85</v>
      </c>
      <c r="B38">
        <v>3000</v>
      </c>
      <c r="C38" s="17" t="s">
        <v>14</v>
      </c>
      <c r="D38" s="17" t="s">
        <v>5</v>
      </c>
      <c r="E38" s="17" t="s">
        <v>131</v>
      </c>
      <c r="F38" t="s">
        <v>55</v>
      </c>
      <c r="G38" s="17" t="s">
        <v>86</v>
      </c>
      <c r="H38" s="25"/>
    </row>
    <row r="39" spans="1:11" x14ac:dyDescent="0.35">
      <c r="A39" s="27" t="s">
        <v>87</v>
      </c>
      <c r="B39" s="9">
        <v>2500</v>
      </c>
      <c r="C39" s="9" t="s">
        <v>5</v>
      </c>
      <c r="D39" s="17" t="s">
        <v>5</v>
      </c>
      <c r="E39" s="17" t="s">
        <v>131</v>
      </c>
      <c r="F39" s="9" t="s">
        <v>73</v>
      </c>
      <c r="G39" s="17" t="s">
        <v>86</v>
      </c>
      <c r="H39" s="10"/>
    </row>
    <row r="40" spans="1:11" x14ac:dyDescent="0.35">
      <c r="A40" s="27" t="s">
        <v>88</v>
      </c>
      <c r="B40" s="9">
        <v>4800</v>
      </c>
      <c r="C40" s="9" t="s">
        <v>5</v>
      </c>
      <c r="D40" s="17" t="s">
        <v>5</v>
      </c>
      <c r="E40" s="17" t="s">
        <v>132</v>
      </c>
      <c r="F40" s="9" t="s">
        <v>73</v>
      </c>
      <c r="G40" s="17" t="s">
        <v>86</v>
      </c>
      <c r="H40" s="10"/>
    </row>
    <row r="41" spans="1:11" x14ac:dyDescent="0.35">
      <c r="A41" s="27" t="s">
        <v>230</v>
      </c>
      <c r="B41" s="9">
        <v>9744.75</v>
      </c>
      <c r="C41" s="9" t="s">
        <v>5</v>
      </c>
      <c r="D41" s="17" t="s">
        <v>5</v>
      </c>
      <c r="E41" s="9" t="s">
        <v>132</v>
      </c>
      <c r="F41" s="9" t="s">
        <v>55</v>
      </c>
      <c r="G41" s="17" t="s">
        <v>86</v>
      </c>
      <c r="H41" s="10" t="s">
        <v>90</v>
      </c>
    </row>
    <row r="42" spans="1:11" x14ac:dyDescent="0.35">
      <c r="A42" s="27" t="s">
        <v>87</v>
      </c>
      <c r="B42" s="9">
        <v>2200</v>
      </c>
      <c r="C42" s="9" t="s">
        <v>5</v>
      </c>
      <c r="D42" s="17" t="s">
        <v>5</v>
      </c>
      <c r="E42" s="9" t="s">
        <v>131</v>
      </c>
      <c r="F42" s="9" t="s">
        <v>73</v>
      </c>
      <c r="G42" s="17" t="s">
        <v>86</v>
      </c>
      <c r="H42" s="10"/>
    </row>
    <row r="43" spans="1:11" x14ac:dyDescent="0.35">
      <c r="A43" s="28" t="s">
        <v>82</v>
      </c>
      <c r="B43" s="9">
        <v>730</v>
      </c>
      <c r="C43" s="9" t="s">
        <v>14</v>
      </c>
      <c r="D43" s="17" t="s">
        <v>5</v>
      </c>
      <c r="E43" s="23" t="s">
        <v>131</v>
      </c>
      <c r="F43" s="9" t="s">
        <v>55</v>
      </c>
      <c r="G43" s="17" t="s">
        <v>86</v>
      </c>
      <c r="H43" s="10"/>
    </row>
    <row r="44" spans="1:11" x14ac:dyDescent="0.35">
      <c r="A44" s="28" t="s">
        <v>91</v>
      </c>
      <c r="B44" s="9">
        <v>250</v>
      </c>
      <c r="C44" s="9" t="s">
        <v>14</v>
      </c>
      <c r="D44" s="17" t="s">
        <v>5</v>
      </c>
      <c r="E44" s="23" t="s">
        <v>131</v>
      </c>
      <c r="F44" s="9" t="s">
        <v>55</v>
      </c>
      <c r="G44" s="17" t="s">
        <v>86</v>
      </c>
      <c r="H44" s="10"/>
    </row>
    <row r="45" spans="1:11" ht="29" x14ac:dyDescent="0.35">
      <c r="A45" s="29" t="s">
        <v>92</v>
      </c>
      <c r="B45" s="9">
        <v>700</v>
      </c>
      <c r="C45" s="9" t="s">
        <v>14</v>
      </c>
      <c r="D45" s="17" t="s">
        <v>93</v>
      </c>
      <c r="F45" s="9" t="s">
        <v>29</v>
      </c>
      <c r="G45" s="17" t="s">
        <v>86</v>
      </c>
      <c r="H45" s="10" t="s">
        <v>135</v>
      </c>
    </row>
    <row r="46" spans="1:11" x14ac:dyDescent="0.35">
      <c r="A46" s="27" t="s">
        <v>91</v>
      </c>
      <c r="B46" s="9">
        <v>1350</v>
      </c>
      <c r="C46" s="9" t="s">
        <v>5</v>
      </c>
      <c r="D46" s="17" t="s">
        <v>5</v>
      </c>
      <c r="E46" t="s">
        <v>131</v>
      </c>
      <c r="F46" s="9" t="s">
        <v>73</v>
      </c>
      <c r="G46" s="17" t="s">
        <v>86</v>
      </c>
      <c r="H46" s="10"/>
      <c r="J46">
        <v>421</v>
      </c>
    </row>
    <row r="47" spans="1:11" x14ac:dyDescent="0.35">
      <c r="A47" s="27" t="s">
        <v>110</v>
      </c>
      <c r="B47" s="9">
        <f>2500+1000</f>
        <v>3500</v>
      </c>
      <c r="C47" s="9" t="s">
        <v>56</v>
      </c>
      <c r="D47" s="17" t="s">
        <v>5</v>
      </c>
      <c r="E47" s="9" t="s">
        <v>132</v>
      </c>
      <c r="F47" s="9" t="s">
        <v>55</v>
      </c>
      <c r="G47" s="17" t="s">
        <v>86</v>
      </c>
      <c r="H47" s="10" t="s">
        <v>133</v>
      </c>
      <c r="J47">
        <v>755</v>
      </c>
    </row>
    <row r="48" spans="1:11" x14ac:dyDescent="0.35">
      <c r="A48" s="27" t="s">
        <v>116</v>
      </c>
      <c r="B48" s="9">
        <f>1000+500</f>
        <v>1500</v>
      </c>
      <c r="C48" s="9" t="s">
        <v>56</v>
      </c>
      <c r="D48" s="17" t="s">
        <v>5</v>
      </c>
      <c r="E48" s="9" t="s">
        <v>132</v>
      </c>
      <c r="F48" s="9" t="s">
        <v>55</v>
      </c>
      <c r="G48" s="17" t="s">
        <v>86</v>
      </c>
      <c r="H48" s="10" t="s">
        <v>133</v>
      </c>
    </row>
    <row r="49" spans="1:8" x14ac:dyDescent="0.35">
      <c r="A49" s="27" t="s">
        <v>111</v>
      </c>
      <c r="B49" s="9">
        <v>699</v>
      </c>
      <c r="C49" s="9" t="s">
        <v>56</v>
      </c>
      <c r="D49" s="17" t="s">
        <v>5</v>
      </c>
      <c r="E49" t="s">
        <v>132</v>
      </c>
      <c r="F49" s="9" t="s">
        <v>55</v>
      </c>
      <c r="G49" s="17" t="s">
        <v>86</v>
      </c>
      <c r="H49" s="10" t="s">
        <v>133</v>
      </c>
    </row>
    <row r="50" spans="1:8" x14ac:dyDescent="0.35">
      <c r="A50" s="27" t="s">
        <v>116</v>
      </c>
      <c r="B50" s="9">
        <f>155+350+150</f>
        <v>655</v>
      </c>
      <c r="C50" s="9" t="s">
        <v>5</v>
      </c>
      <c r="D50" s="17" t="s">
        <v>5</v>
      </c>
      <c r="E50" t="s">
        <v>132</v>
      </c>
      <c r="F50" s="9" t="s">
        <v>73</v>
      </c>
      <c r="G50" s="17" t="s">
        <v>106</v>
      </c>
      <c r="H50" s="10"/>
    </row>
    <row r="51" spans="1:8" x14ac:dyDescent="0.35">
      <c r="A51" s="27" t="s">
        <v>116</v>
      </c>
      <c r="B51" s="9">
        <f>488</f>
        <v>488</v>
      </c>
      <c r="C51" s="9" t="s">
        <v>56</v>
      </c>
      <c r="D51" s="17" t="s">
        <v>5</v>
      </c>
      <c r="E51" t="s">
        <v>132</v>
      </c>
      <c r="F51" s="9" t="s">
        <v>55</v>
      </c>
      <c r="G51" s="17" t="s">
        <v>106</v>
      </c>
      <c r="H51" s="10" t="s">
        <v>134</v>
      </c>
    </row>
    <row r="52" spans="1:8" x14ac:dyDescent="0.35">
      <c r="A52" s="27" t="s">
        <v>112</v>
      </c>
      <c r="B52" s="9">
        <f>375+1150+480+280+40+190</f>
        <v>2515</v>
      </c>
      <c r="C52" s="9" t="s">
        <v>5</v>
      </c>
      <c r="D52" s="17" t="s">
        <v>5</v>
      </c>
      <c r="E52" t="s">
        <v>131</v>
      </c>
      <c r="F52" s="9" t="s">
        <v>73</v>
      </c>
      <c r="G52" s="17" t="s">
        <v>106</v>
      </c>
      <c r="H52" s="10"/>
    </row>
    <row r="53" spans="1:8" x14ac:dyDescent="0.35">
      <c r="A53" s="27" t="s">
        <v>113</v>
      </c>
      <c r="B53" s="9">
        <f>2000+556+75</f>
        <v>2631</v>
      </c>
      <c r="C53" s="9" t="s">
        <v>5</v>
      </c>
      <c r="D53" s="17" t="s">
        <v>5</v>
      </c>
      <c r="E53" t="s">
        <v>132</v>
      </c>
      <c r="F53" s="9" t="s">
        <v>73</v>
      </c>
      <c r="G53" s="17" t="s">
        <v>106</v>
      </c>
      <c r="H53" s="10"/>
    </row>
    <row r="54" spans="1:8" x14ac:dyDescent="0.35">
      <c r="A54" s="27" t="s">
        <v>114</v>
      </c>
      <c r="B54">
        <f>1529-450</f>
        <v>1079</v>
      </c>
      <c r="C54" s="9" t="s">
        <v>14</v>
      </c>
      <c r="D54" s="17" t="s">
        <v>5</v>
      </c>
      <c r="E54" t="s">
        <v>132</v>
      </c>
      <c r="F54" s="9" t="s">
        <v>55</v>
      </c>
      <c r="G54" s="17" t="s">
        <v>106</v>
      </c>
      <c r="H54" s="10"/>
    </row>
    <row r="55" spans="1:8" x14ac:dyDescent="0.35">
      <c r="A55" s="27" t="s">
        <v>115</v>
      </c>
      <c r="B55">
        <f>1400+750</f>
        <v>2150</v>
      </c>
      <c r="C55" s="9" t="s">
        <v>56</v>
      </c>
      <c r="D55" s="17" t="s">
        <v>27</v>
      </c>
      <c r="E55" t="s">
        <v>132</v>
      </c>
      <c r="F55" s="9" t="s">
        <v>55</v>
      </c>
      <c r="G55" s="17" t="s">
        <v>106</v>
      </c>
      <c r="H55" s="10"/>
    </row>
    <row r="56" spans="1:8" x14ac:dyDescent="0.35">
      <c r="A56" s="27" t="s">
        <v>128</v>
      </c>
      <c r="B56">
        <v>13759</v>
      </c>
      <c r="C56" t="s">
        <v>129</v>
      </c>
      <c r="D56" s="1" t="s">
        <v>14</v>
      </c>
      <c r="E56" s="19" t="s">
        <v>128</v>
      </c>
      <c r="F56" s="1" t="s">
        <v>55</v>
      </c>
      <c r="G56" s="20" t="s">
        <v>106</v>
      </c>
      <c r="H56" s="26" t="s">
        <v>120</v>
      </c>
    </row>
    <row r="57" spans="1:8" x14ac:dyDescent="0.35">
      <c r="A57" s="27" t="s">
        <v>89</v>
      </c>
      <c r="B57">
        <f>2000+460+800</f>
        <v>3260</v>
      </c>
      <c r="C57" t="s">
        <v>5</v>
      </c>
      <c r="D57" s="17" t="s">
        <v>14</v>
      </c>
      <c r="E57" s="24" t="s">
        <v>132</v>
      </c>
      <c r="F57" s="9" t="s">
        <v>29</v>
      </c>
      <c r="G57" s="17" t="s">
        <v>118</v>
      </c>
      <c r="H57" s="10"/>
    </row>
    <row r="58" spans="1:8" x14ac:dyDescent="0.35">
      <c r="A58" s="27" t="s">
        <v>11</v>
      </c>
      <c r="B58">
        <v>1087</v>
      </c>
      <c r="C58" t="s">
        <v>56</v>
      </c>
      <c r="D58" s="17" t="s">
        <v>5</v>
      </c>
      <c r="E58" s="24" t="s">
        <v>132</v>
      </c>
      <c r="F58" s="9" t="s">
        <v>55</v>
      </c>
      <c r="G58" s="17" t="s">
        <v>118</v>
      </c>
      <c r="H58" s="10" t="s">
        <v>234</v>
      </c>
    </row>
    <row r="59" spans="1:8" x14ac:dyDescent="0.35">
      <c r="A59" s="27" t="s">
        <v>117</v>
      </c>
      <c r="B59" s="9">
        <v>1330</v>
      </c>
      <c r="C59" t="s">
        <v>5</v>
      </c>
      <c r="D59" s="17" t="s">
        <v>4</v>
      </c>
      <c r="E59" t="s">
        <v>131</v>
      </c>
      <c r="F59" s="9" t="s">
        <v>55</v>
      </c>
      <c r="G59" s="17" t="s">
        <v>118</v>
      </c>
      <c r="H59" s="10"/>
    </row>
    <row r="60" spans="1:8" x14ac:dyDescent="0.35">
      <c r="A60" s="27" t="s">
        <v>119</v>
      </c>
      <c r="B60" s="9">
        <v>580</v>
      </c>
      <c r="C60" t="s">
        <v>5</v>
      </c>
      <c r="D60" s="17" t="s">
        <v>4</v>
      </c>
      <c r="E60" t="s">
        <v>131</v>
      </c>
      <c r="F60" s="9" t="s">
        <v>55</v>
      </c>
      <c r="G60" s="17" t="s">
        <v>118</v>
      </c>
      <c r="H60" s="10"/>
    </row>
    <row r="61" spans="1:8" x14ac:dyDescent="0.35">
      <c r="A61" s="27" t="s">
        <v>121</v>
      </c>
      <c r="B61">
        <v>1078</v>
      </c>
      <c r="C61" t="s">
        <v>56</v>
      </c>
      <c r="D61" s="17" t="s">
        <v>4</v>
      </c>
      <c r="E61" s="9" t="s">
        <v>131</v>
      </c>
      <c r="F61" s="9" t="s">
        <v>73</v>
      </c>
      <c r="G61" s="17" t="s">
        <v>118</v>
      </c>
      <c r="H61" s="10"/>
    </row>
    <row r="62" spans="1:8" x14ac:dyDescent="0.35">
      <c r="A62" s="27" t="s">
        <v>122</v>
      </c>
      <c r="B62">
        <v>69900</v>
      </c>
      <c r="C62" t="s">
        <v>56</v>
      </c>
      <c r="D62" s="17" t="s">
        <v>14</v>
      </c>
      <c r="E62" s="9" t="s">
        <v>132</v>
      </c>
      <c r="F62" s="9" t="s">
        <v>55</v>
      </c>
      <c r="G62" s="17" t="s">
        <v>118</v>
      </c>
      <c r="H62" s="68" t="s">
        <v>130</v>
      </c>
    </row>
    <row r="63" spans="1:8" ht="43.5" x14ac:dyDescent="0.35">
      <c r="A63" s="27" t="s">
        <v>123</v>
      </c>
      <c r="B63">
        <v>10850</v>
      </c>
      <c r="C63" t="s">
        <v>56</v>
      </c>
      <c r="D63" s="17" t="s">
        <v>4</v>
      </c>
      <c r="E63" t="s">
        <v>132</v>
      </c>
      <c r="F63" s="9" t="s">
        <v>55</v>
      </c>
      <c r="G63" s="17" t="s">
        <v>118</v>
      </c>
      <c r="H63" s="24" t="s">
        <v>231</v>
      </c>
    </row>
    <row r="64" spans="1:8" x14ac:dyDescent="0.35">
      <c r="A64" s="27" t="s">
        <v>124</v>
      </c>
      <c r="B64">
        <f>464+250</f>
        <v>714</v>
      </c>
      <c r="C64" t="s">
        <v>56</v>
      </c>
      <c r="D64" s="17" t="s">
        <v>5</v>
      </c>
      <c r="E64" t="s">
        <v>132</v>
      </c>
      <c r="F64" s="9" t="s">
        <v>55</v>
      </c>
      <c r="G64" s="17" t="s">
        <v>118</v>
      </c>
      <c r="H64" s="10" t="s">
        <v>234</v>
      </c>
    </row>
    <row r="65" spans="1:8" x14ac:dyDescent="0.35">
      <c r="A65" s="27" t="s">
        <v>232</v>
      </c>
      <c r="B65">
        <v>1430</v>
      </c>
      <c r="C65" t="s">
        <v>4</v>
      </c>
      <c r="D65" s="17" t="s">
        <v>4</v>
      </c>
      <c r="E65" t="s">
        <v>131</v>
      </c>
      <c r="F65" s="9" t="s">
        <v>73</v>
      </c>
      <c r="G65" s="17" t="s">
        <v>233</v>
      </c>
      <c r="H65" s="10"/>
    </row>
    <row r="66" spans="1:8" x14ac:dyDescent="0.35">
      <c r="A66" s="45" t="s">
        <v>11</v>
      </c>
      <c r="B66" s="46">
        <v>2020</v>
      </c>
      <c r="C66" s="46" t="s">
        <v>56</v>
      </c>
      <c r="D66" s="47" t="s">
        <v>5</v>
      </c>
      <c r="E66" s="48" t="s">
        <v>132</v>
      </c>
      <c r="F66" s="49" t="s">
        <v>29</v>
      </c>
      <c r="G66" s="17" t="s">
        <v>233</v>
      </c>
      <c r="H66" s="50" t="s">
        <v>234</v>
      </c>
    </row>
    <row r="67" spans="1:8" x14ac:dyDescent="0.35">
      <c r="A67" s="45" t="s">
        <v>236</v>
      </c>
      <c r="B67" s="46">
        <f>115+120+350+450+850+130</f>
        <v>2015</v>
      </c>
      <c r="C67" s="46" t="s">
        <v>4</v>
      </c>
      <c r="D67" s="47" t="s">
        <v>4</v>
      </c>
      <c r="E67" s="46" t="s">
        <v>131</v>
      </c>
      <c r="F67" s="49" t="s">
        <v>73</v>
      </c>
      <c r="G67" s="47" t="s">
        <v>233</v>
      </c>
      <c r="H67" s="50"/>
    </row>
    <row r="68" spans="1:8" x14ac:dyDescent="0.35">
      <c r="A68" s="45" t="s">
        <v>235</v>
      </c>
      <c r="B68" s="46">
        <f>2425+80+55</f>
        <v>2560</v>
      </c>
      <c r="C68" s="46" t="s">
        <v>27</v>
      </c>
      <c r="D68" s="47" t="s">
        <v>5</v>
      </c>
      <c r="E68" s="46" t="s">
        <v>132</v>
      </c>
      <c r="F68" s="49" t="s">
        <v>29</v>
      </c>
      <c r="G68" s="47" t="s">
        <v>233</v>
      </c>
      <c r="H68" s="50" t="s">
        <v>238</v>
      </c>
    </row>
    <row r="69" spans="1:8" x14ac:dyDescent="0.35">
      <c r="A69" s="45" t="s">
        <v>237</v>
      </c>
      <c r="B69" s="46">
        <f>670*3</f>
        <v>2010</v>
      </c>
      <c r="C69" s="46" t="s">
        <v>56</v>
      </c>
      <c r="D69" s="47" t="s">
        <v>5</v>
      </c>
      <c r="E69" s="46" t="s">
        <v>132</v>
      </c>
      <c r="F69" s="49" t="s">
        <v>29</v>
      </c>
      <c r="G69" s="47" t="s">
        <v>233</v>
      </c>
      <c r="H69" s="50" t="s">
        <v>238</v>
      </c>
    </row>
    <row r="70" spans="1:8" x14ac:dyDescent="0.35">
      <c r="A70" s="53" t="s">
        <v>242</v>
      </c>
      <c r="B70" s="46">
        <v>2000</v>
      </c>
      <c r="C70" s="46" t="s">
        <v>56</v>
      </c>
      <c r="D70" s="47" t="s">
        <v>4</v>
      </c>
      <c r="E70" s="46" t="s">
        <v>131</v>
      </c>
      <c r="F70" s="49" t="s">
        <v>73</v>
      </c>
      <c r="G70" s="47" t="s">
        <v>233</v>
      </c>
      <c r="H70" s="50" t="s">
        <v>244</v>
      </c>
    </row>
    <row r="71" spans="1:8" x14ac:dyDescent="0.35">
      <c r="A71" s="53" t="s">
        <v>243</v>
      </c>
      <c r="B71" s="46">
        <v>2413</v>
      </c>
      <c r="C71" s="46" t="s">
        <v>27</v>
      </c>
      <c r="D71" s="47" t="s">
        <v>5</v>
      </c>
      <c r="E71" s="46" t="s">
        <v>132</v>
      </c>
      <c r="F71" s="49" t="s">
        <v>29</v>
      </c>
      <c r="G71" s="47" t="s">
        <v>233</v>
      </c>
      <c r="H71" s="50" t="s">
        <v>238</v>
      </c>
    </row>
    <row r="72" spans="1:8" x14ac:dyDescent="0.35">
      <c r="A72" s="53" t="s">
        <v>245</v>
      </c>
      <c r="B72" s="46">
        <v>3005</v>
      </c>
      <c r="C72" s="46" t="s">
        <v>56</v>
      </c>
      <c r="D72" s="47" t="s">
        <v>5</v>
      </c>
      <c r="E72" s="46" t="s">
        <v>131</v>
      </c>
      <c r="F72" s="49" t="s">
        <v>29</v>
      </c>
      <c r="G72" s="47" t="s">
        <v>246</v>
      </c>
      <c r="H72" s="50" t="s">
        <v>244</v>
      </c>
    </row>
    <row r="73" spans="1:8" x14ac:dyDescent="0.35">
      <c r="A73" s="27" t="s">
        <v>11</v>
      </c>
      <c r="B73" s="46">
        <v>4500</v>
      </c>
      <c r="C73" s="46" t="s">
        <v>56</v>
      </c>
      <c r="D73" s="47" t="s">
        <v>5</v>
      </c>
      <c r="E73" s="46" t="s">
        <v>132</v>
      </c>
      <c r="F73" s="49" t="s">
        <v>29</v>
      </c>
      <c r="G73" s="47" t="s">
        <v>246</v>
      </c>
      <c r="H73" s="50" t="s">
        <v>244</v>
      </c>
    </row>
    <row r="74" spans="1:8" x14ac:dyDescent="0.35">
      <c r="A74" s="53" t="s">
        <v>255</v>
      </c>
      <c r="B74" s="46">
        <v>3500</v>
      </c>
      <c r="C74" s="46" t="s">
        <v>56</v>
      </c>
      <c r="D74" s="47" t="s">
        <v>5</v>
      </c>
      <c r="E74" s="55" t="s">
        <v>131</v>
      </c>
      <c r="F74" s="49" t="s">
        <v>29</v>
      </c>
      <c r="G74" s="47" t="s">
        <v>256</v>
      </c>
      <c r="H74" s="50" t="s">
        <v>259</v>
      </c>
    </row>
    <row r="75" spans="1:8" x14ac:dyDescent="0.35">
      <c r="A75" s="27" t="s">
        <v>263</v>
      </c>
      <c r="B75" s="46">
        <v>800</v>
      </c>
      <c r="C75" s="46" t="s">
        <v>4</v>
      </c>
      <c r="D75" s="47" t="s">
        <v>4</v>
      </c>
      <c r="E75" s="55" t="s">
        <v>132</v>
      </c>
      <c r="F75" s="49" t="s">
        <v>73</v>
      </c>
      <c r="G75" s="47" t="s">
        <v>256</v>
      </c>
      <c r="H75" s="50" t="s">
        <v>264</v>
      </c>
    </row>
    <row r="76" spans="1:8" x14ac:dyDescent="0.35">
      <c r="A76" s="57" t="s">
        <v>255</v>
      </c>
      <c r="B76" s="58">
        <v>3500</v>
      </c>
      <c r="C76" s="58" t="s">
        <v>56</v>
      </c>
      <c r="D76" s="59" t="s">
        <v>5</v>
      </c>
      <c r="E76" s="60" t="s">
        <v>131</v>
      </c>
      <c r="F76" s="58" t="s">
        <v>55</v>
      </c>
      <c r="G76" s="59" t="s">
        <v>257</v>
      </c>
      <c r="H76" s="61" t="s">
        <v>260</v>
      </c>
    </row>
    <row r="77" spans="1:8" x14ac:dyDescent="0.35">
      <c r="A77" s="57" t="s">
        <v>255</v>
      </c>
      <c r="B77" s="58">
        <v>3500</v>
      </c>
      <c r="C77" s="58" t="s">
        <v>56</v>
      </c>
      <c r="D77" s="59" t="s">
        <v>5</v>
      </c>
      <c r="E77" s="60" t="s">
        <v>131</v>
      </c>
      <c r="F77" s="58" t="s">
        <v>55</v>
      </c>
      <c r="G77" s="59" t="s">
        <v>258</v>
      </c>
      <c r="H77" s="61" t="s">
        <v>261</v>
      </c>
    </row>
    <row r="78" spans="1:8" x14ac:dyDescent="0.35">
      <c r="A78" s="57" t="s">
        <v>255</v>
      </c>
      <c r="B78" s="58">
        <v>3500</v>
      </c>
      <c r="C78" s="58" t="s">
        <v>56</v>
      </c>
      <c r="D78" s="59" t="s">
        <v>5</v>
      </c>
      <c r="E78" s="60" t="s">
        <v>131</v>
      </c>
      <c r="F78" s="58" t="s">
        <v>29</v>
      </c>
      <c r="G78" s="59" t="s">
        <v>76</v>
      </c>
      <c r="H78" s="61" t="s">
        <v>262</v>
      </c>
    </row>
    <row r="79" spans="1:8" x14ac:dyDescent="0.35">
      <c r="A79" s="57" t="s">
        <v>255</v>
      </c>
      <c r="B79" s="58">
        <v>3500</v>
      </c>
      <c r="C79" s="58" t="s">
        <v>56</v>
      </c>
      <c r="D79" s="59" t="s">
        <v>5</v>
      </c>
      <c r="E79" s="60" t="s">
        <v>131</v>
      </c>
      <c r="F79" s="58" t="s">
        <v>29</v>
      </c>
      <c r="G79" s="59" t="s">
        <v>78</v>
      </c>
      <c r="H79" s="61" t="s">
        <v>284</v>
      </c>
    </row>
    <row r="80" spans="1:8" x14ac:dyDescent="0.35">
      <c r="A80" s="53" t="s">
        <v>265</v>
      </c>
      <c r="B80" s="46">
        <v>2700</v>
      </c>
      <c r="C80" s="46" t="s">
        <v>4</v>
      </c>
      <c r="D80" s="47" t="s">
        <v>4</v>
      </c>
      <c r="E80" s="55" t="s">
        <v>132</v>
      </c>
      <c r="F80" s="49" t="s">
        <v>73</v>
      </c>
      <c r="G80" s="47" t="s">
        <v>256</v>
      </c>
      <c r="H80" s="50"/>
    </row>
    <row r="81" spans="1:8" x14ac:dyDescent="0.35">
      <c r="A81" s="53" t="s">
        <v>266</v>
      </c>
      <c r="B81" s="46">
        <v>2600</v>
      </c>
      <c r="C81" s="46" t="s">
        <v>27</v>
      </c>
      <c r="D81" s="56" t="s">
        <v>4</v>
      </c>
      <c r="E81" s="55" t="s">
        <v>131</v>
      </c>
      <c r="F81" s="49" t="s">
        <v>29</v>
      </c>
      <c r="G81" s="47" t="s">
        <v>256</v>
      </c>
      <c r="H81" s="50" t="s">
        <v>268</v>
      </c>
    </row>
    <row r="82" spans="1:8" x14ac:dyDescent="0.35">
      <c r="A82" s="53" t="s">
        <v>267</v>
      </c>
      <c r="B82" s="46">
        <v>480</v>
      </c>
      <c r="C82" s="46" t="s">
        <v>27</v>
      </c>
      <c r="D82" s="56" t="s">
        <v>4</v>
      </c>
      <c r="E82" s="55" t="s">
        <v>131</v>
      </c>
      <c r="F82" s="49" t="s">
        <v>29</v>
      </c>
      <c r="G82" s="47" t="s">
        <v>256</v>
      </c>
      <c r="H82" s="50" t="s">
        <v>268</v>
      </c>
    </row>
    <row r="83" spans="1:8" x14ac:dyDescent="0.35">
      <c r="A83" s="53" t="s">
        <v>269</v>
      </c>
      <c r="B83" s="46">
        <v>460</v>
      </c>
      <c r="C83" s="46" t="s">
        <v>56</v>
      </c>
      <c r="D83" s="47" t="s">
        <v>5</v>
      </c>
      <c r="E83" s="46" t="s">
        <v>132</v>
      </c>
      <c r="F83" s="49" t="s">
        <v>29</v>
      </c>
      <c r="G83" s="62" t="s">
        <v>256</v>
      </c>
      <c r="H83" s="50" t="s">
        <v>270</v>
      </c>
    </row>
    <row r="84" spans="1:8" x14ac:dyDescent="0.35">
      <c r="A84" s="27" t="s">
        <v>281</v>
      </c>
      <c r="B84" s="46">
        <v>1000</v>
      </c>
      <c r="C84" s="46" t="s">
        <v>5</v>
      </c>
      <c r="D84" s="47" t="s">
        <v>5</v>
      </c>
      <c r="E84" s="46" t="s">
        <v>131</v>
      </c>
      <c r="F84" s="49" t="s">
        <v>55</v>
      </c>
      <c r="G84" s="62" t="s">
        <v>257</v>
      </c>
      <c r="H84" s="50"/>
    </row>
    <row r="85" spans="1:8" x14ac:dyDescent="0.35">
      <c r="A85" s="53" t="s">
        <v>282</v>
      </c>
      <c r="B85" s="46">
        <v>2500</v>
      </c>
      <c r="C85" s="46" t="s">
        <v>5</v>
      </c>
      <c r="D85" s="47" t="s">
        <v>5</v>
      </c>
      <c r="E85" s="46" t="s">
        <v>132</v>
      </c>
      <c r="F85" s="49" t="s">
        <v>55</v>
      </c>
      <c r="G85" s="47" t="s">
        <v>257</v>
      </c>
      <c r="H85" s="50"/>
    </row>
    <row r="86" spans="1:8" x14ac:dyDescent="0.35">
      <c r="A86" s="53" t="s">
        <v>272</v>
      </c>
      <c r="B86" s="46">
        <f>2317+2396+2398</f>
        <v>7111</v>
      </c>
      <c r="C86" s="46" t="s">
        <v>56</v>
      </c>
      <c r="D86" s="47" t="s">
        <v>5</v>
      </c>
      <c r="E86" s="46" t="s">
        <v>131</v>
      </c>
      <c r="F86" s="49" t="s">
        <v>29</v>
      </c>
      <c r="G86" s="47" t="s">
        <v>257</v>
      </c>
      <c r="H86" s="50" t="s">
        <v>273</v>
      </c>
    </row>
    <row r="87" spans="1:8" x14ac:dyDescent="0.35">
      <c r="A87" s="53" t="s">
        <v>274</v>
      </c>
      <c r="B87" s="46">
        <v>2000</v>
      </c>
      <c r="C87" s="46" t="s">
        <v>14</v>
      </c>
      <c r="D87" s="47" t="s">
        <v>5</v>
      </c>
      <c r="E87" s="46" t="s">
        <v>131</v>
      </c>
      <c r="F87" s="49" t="s">
        <v>29</v>
      </c>
      <c r="G87" s="47" t="s">
        <v>257</v>
      </c>
      <c r="H87" s="50" t="s">
        <v>276</v>
      </c>
    </row>
    <row r="88" spans="1:8" x14ac:dyDescent="0.35">
      <c r="A88" s="53" t="s">
        <v>275</v>
      </c>
      <c r="B88" s="46">
        <f>1800+1000+800</f>
        <v>3600</v>
      </c>
      <c r="C88" s="46" t="s">
        <v>14</v>
      </c>
      <c r="D88" s="47" t="s">
        <v>5</v>
      </c>
      <c r="E88" s="46" t="s">
        <v>132</v>
      </c>
      <c r="F88" s="49" t="s">
        <v>29</v>
      </c>
      <c r="G88" s="47" t="s">
        <v>257</v>
      </c>
      <c r="H88" s="50" t="s">
        <v>276</v>
      </c>
    </row>
    <row r="89" spans="1:8" x14ac:dyDescent="0.35">
      <c r="A89" s="53" t="s">
        <v>277</v>
      </c>
      <c r="B89" s="46">
        <v>1300</v>
      </c>
      <c r="C89" s="46" t="s">
        <v>5</v>
      </c>
      <c r="D89" s="47" t="s">
        <v>4</v>
      </c>
      <c r="E89" s="46" t="s">
        <v>131</v>
      </c>
      <c r="F89" s="49" t="s">
        <v>55</v>
      </c>
      <c r="G89" s="47" t="s">
        <v>257</v>
      </c>
      <c r="H89" s="50"/>
    </row>
    <row r="90" spans="1:8" x14ac:dyDescent="0.35">
      <c r="A90" s="53" t="s">
        <v>278</v>
      </c>
      <c r="B90" s="46">
        <v>5500</v>
      </c>
      <c r="C90" s="46" t="s">
        <v>5</v>
      </c>
      <c r="D90" s="47" t="s">
        <v>5</v>
      </c>
      <c r="E90" s="46" t="s">
        <v>131</v>
      </c>
      <c r="F90" s="49" t="s">
        <v>55</v>
      </c>
      <c r="G90" s="47" t="s">
        <v>258</v>
      </c>
      <c r="H90" s="64" t="s">
        <v>279</v>
      </c>
    </row>
    <row r="91" spans="1:8" x14ac:dyDescent="0.35">
      <c r="A91" s="53" t="s">
        <v>110</v>
      </c>
      <c r="B91" s="46">
        <v>3500</v>
      </c>
      <c r="C91" s="46" t="s">
        <v>56</v>
      </c>
      <c r="D91" s="47" t="s">
        <v>5</v>
      </c>
      <c r="E91" s="46" t="s">
        <v>132</v>
      </c>
      <c r="F91" s="49" t="s">
        <v>55</v>
      </c>
      <c r="G91" s="47" t="s">
        <v>258</v>
      </c>
      <c r="H91" s="50"/>
    </row>
    <row r="92" spans="1:8" x14ac:dyDescent="0.35">
      <c r="A92" s="53" t="s">
        <v>280</v>
      </c>
      <c r="B92" s="46">
        <v>500</v>
      </c>
      <c r="C92" s="46" t="s">
        <v>5</v>
      </c>
      <c r="D92" s="47" t="s">
        <v>5</v>
      </c>
      <c r="E92" s="46" t="s">
        <v>131</v>
      </c>
      <c r="F92" s="49" t="s">
        <v>55</v>
      </c>
      <c r="G92" s="47" t="s">
        <v>258</v>
      </c>
      <c r="H92" s="50"/>
    </row>
    <row r="93" spans="1:8" x14ac:dyDescent="0.35">
      <c r="A93" s="53" t="s">
        <v>283</v>
      </c>
      <c r="B93" s="46">
        <f>350+450+659</f>
        <v>1459</v>
      </c>
      <c r="C93" s="46" t="s">
        <v>5</v>
      </c>
      <c r="D93" s="47" t="s">
        <v>4</v>
      </c>
      <c r="E93" s="46" t="s">
        <v>132</v>
      </c>
      <c r="F93" s="49" t="s">
        <v>29</v>
      </c>
      <c r="G93" s="47" t="s">
        <v>258</v>
      </c>
      <c r="H93" s="50"/>
    </row>
    <row r="94" spans="1:8" x14ac:dyDescent="0.35">
      <c r="A94" s="53" t="s">
        <v>242</v>
      </c>
      <c r="B94" s="46">
        <v>3730</v>
      </c>
      <c r="C94" s="46" t="s">
        <v>27</v>
      </c>
      <c r="D94" s="47" t="s">
        <v>4</v>
      </c>
      <c r="E94" s="46" t="s">
        <v>131</v>
      </c>
      <c r="F94" s="49" t="s">
        <v>29</v>
      </c>
      <c r="G94" s="47" t="s">
        <v>258</v>
      </c>
      <c r="H94" s="50" t="s">
        <v>285</v>
      </c>
    </row>
    <row r="95" spans="1:8" x14ac:dyDescent="0.35">
      <c r="A95" s="53" t="s">
        <v>267</v>
      </c>
      <c r="B95" s="46">
        <v>400</v>
      </c>
      <c r="C95" s="46" t="s">
        <v>4</v>
      </c>
      <c r="D95" s="47" t="s">
        <v>4</v>
      </c>
      <c r="E95" s="46" t="s">
        <v>131</v>
      </c>
      <c r="F95" s="49" t="s">
        <v>29</v>
      </c>
      <c r="G95" s="47" t="s">
        <v>258</v>
      </c>
      <c r="H95" s="50"/>
    </row>
    <row r="96" spans="1:8" x14ac:dyDescent="0.35">
      <c r="A96" s="53" t="s">
        <v>286</v>
      </c>
      <c r="B96" s="46">
        <v>30000</v>
      </c>
      <c r="C96" s="46" t="s">
        <v>14</v>
      </c>
      <c r="D96" s="47" t="s">
        <v>4</v>
      </c>
      <c r="E96" s="46" t="s">
        <v>132</v>
      </c>
      <c r="F96" s="49" t="s">
        <v>73</v>
      </c>
      <c r="G96" s="47" t="s">
        <v>258</v>
      </c>
      <c r="H96" s="64"/>
    </row>
    <row r="97" spans="1:8" x14ac:dyDescent="0.35">
      <c r="A97" s="53" t="s">
        <v>287</v>
      </c>
      <c r="B97" s="46">
        <v>17000</v>
      </c>
      <c r="C97" s="46" t="s">
        <v>5</v>
      </c>
      <c r="D97" s="47" t="s">
        <v>5</v>
      </c>
      <c r="E97" s="46" t="s">
        <v>132</v>
      </c>
      <c r="F97" s="49" t="s">
        <v>55</v>
      </c>
      <c r="G97" s="47" t="s">
        <v>258</v>
      </c>
      <c r="H97" s="64" t="s">
        <v>288</v>
      </c>
    </row>
    <row r="98" spans="1:8" x14ac:dyDescent="0.35">
      <c r="A98" s="27"/>
      <c r="B98" s="46"/>
      <c r="C98" s="46"/>
      <c r="D98" s="47"/>
      <c r="E98" s="46"/>
      <c r="F98" s="49" t="s">
        <v>73</v>
      </c>
      <c r="G98" s="47"/>
      <c r="H98" s="50"/>
    </row>
    <row r="99" spans="1:8" x14ac:dyDescent="0.35">
      <c r="A99" s="27"/>
      <c r="B99" s="46"/>
      <c r="C99" s="46"/>
      <c r="D99" s="47"/>
      <c r="E99" s="46"/>
      <c r="F99" s="49"/>
      <c r="G99" s="47"/>
      <c r="H99" s="50"/>
    </row>
    <row r="100" spans="1:8" x14ac:dyDescent="0.35">
      <c r="A100" s="27"/>
      <c r="B100" s="46"/>
      <c r="C100" s="46"/>
      <c r="D100" s="47"/>
      <c r="E100" s="46"/>
      <c r="F100" s="49"/>
      <c r="G100" s="47"/>
      <c r="H100" s="50"/>
    </row>
    <row r="101" spans="1:8" x14ac:dyDescent="0.35">
      <c r="A101" s="27"/>
      <c r="B101" s="46"/>
      <c r="C101" s="46"/>
      <c r="D101" s="47"/>
      <c r="E101" s="46"/>
      <c r="F101" s="49"/>
      <c r="G101" s="47"/>
      <c r="H101" s="50"/>
    </row>
    <row r="102" spans="1:8" x14ac:dyDescent="0.35">
      <c r="A102" s="27"/>
      <c r="B102" s="46"/>
      <c r="C102" s="46"/>
      <c r="D102" s="47"/>
      <c r="E102" s="46"/>
      <c r="F102" s="49"/>
      <c r="G102" s="47"/>
      <c r="H102" s="50"/>
    </row>
    <row r="103" spans="1:8" x14ac:dyDescent="0.35">
      <c r="A103" s="27"/>
      <c r="B103" s="46"/>
      <c r="C103" s="46"/>
      <c r="D103" s="47"/>
      <c r="E103" s="46"/>
      <c r="F103" s="49"/>
      <c r="G103" s="47"/>
      <c r="H103" s="50"/>
    </row>
    <row r="104" spans="1:8" x14ac:dyDescent="0.35">
      <c r="A104" s="27"/>
      <c r="B104" s="46"/>
      <c r="C104" s="46"/>
      <c r="D104" s="47"/>
      <c r="E104" s="46"/>
      <c r="F104" s="49"/>
      <c r="G104" s="47"/>
      <c r="H104" s="50"/>
    </row>
    <row r="105" spans="1:8" x14ac:dyDescent="0.35">
      <c r="A105" s="27"/>
      <c r="B105" s="46"/>
      <c r="C105" s="46"/>
      <c r="D105" s="47"/>
      <c r="E105" s="46"/>
      <c r="F105" s="49"/>
      <c r="G105" s="47"/>
      <c r="H105" s="50"/>
    </row>
    <row r="106" spans="1:8" x14ac:dyDescent="0.35">
      <c r="A106" s="27"/>
      <c r="B106" s="46"/>
      <c r="C106" s="46"/>
      <c r="D106" s="47"/>
      <c r="E106" s="46"/>
      <c r="F106" s="49"/>
      <c r="G106" s="47"/>
      <c r="H106" s="50"/>
    </row>
    <row r="107" spans="1:8" x14ac:dyDescent="0.35">
      <c r="A107" s="27"/>
      <c r="B107" s="46"/>
      <c r="C107" s="46"/>
      <c r="D107" s="47"/>
      <c r="E107" s="46"/>
      <c r="F107" s="49"/>
      <c r="G107" s="47"/>
      <c r="H107" s="50"/>
    </row>
  </sheetData>
  <conditionalFormatting sqref="E36:E37 H36:H37 H34 G70 F69:F70 H63 G1:I1 E27:E29 H27 F27:G37 F1:F26 E40:E42 E44:E60 F38:F64 F86:F1048576">
    <cfRule type="containsText" dxfId="28" priority="17" operator="containsText" text="INVEST">
      <formula>NOT(ISERROR(SEARCH("INVEST",E1)))</formula>
    </cfRule>
  </conditionalFormatting>
  <conditionalFormatting sqref="E35:E37 G70 F69:F70 E27:E30 F1:F26 E40:E42 E44:E60 F86:F1048576">
    <cfRule type="containsText" dxfId="27" priority="18" operator="containsText" text="Debt">
      <formula>NOT(ISERROR(SEARCH("Debt",E1)))</formula>
    </cfRule>
  </conditionalFormatting>
  <conditionalFormatting sqref="E61:E62">
    <cfRule type="containsText" dxfId="26" priority="14" operator="containsText" text="INVEST">
      <formula>NOT(ISERROR(SEARCH("INVEST",E61)))</formula>
    </cfRule>
  </conditionalFormatting>
  <conditionalFormatting sqref="E61:E62">
    <cfRule type="containsText" dxfId="25" priority="15" operator="containsText" text="Debt">
      <formula>NOT(ISERROR(SEARCH("Debt",E61)))</formula>
    </cfRule>
  </conditionalFormatting>
  <conditionalFormatting sqref="E27:E77 E79:E107">
    <cfRule type="cellIs" dxfId="24" priority="12" operator="equal">
      <formula>"NEED"</formula>
    </cfRule>
    <cfRule type="cellIs" dxfId="23" priority="13" operator="equal">
      <formula>"DEBT"</formula>
    </cfRule>
  </conditionalFormatting>
  <conditionalFormatting sqref="E28:E77 E79:E107">
    <cfRule type="cellIs" dxfId="22" priority="11" operator="equal">
      <formula>"WANTS"</formula>
    </cfRule>
  </conditionalFormatting>
  <conditionalFormatting sqref="F28:F77 F79:F107">
    <cfRule type="cellIs" dxfId="21" priority="8" operator="equal">
      <formula>"LIB"</formula>
    </cfRule>
    <cfRule type="cellIs" dxfId="20" priority="9" operator="equal">
      <formula>"Done"</formula>
    </cfRule>
    <cfRule type="cellIs" dxfId="19" priority="10" operator="equal">
      <formula>"Not Done"</formula>
    </cfRule>
  </conditionalFormatting>
  <conditionalFormatting sqref="F2:F25">
    <cfRule type="cellIs" dxfId="18" priority="7" operator="equal">
      <formula>"W/N"</formula>
    </cfRule>
  </conditionalFormatting>
  <conditionalFormatting sqref="E78">
    <cfRule type="cellIs" dxfId="17" priority="5" operator="equal">
      <formula>"NEED"</formula>
    </cfRule>
    <cfRule type="cellIs" dxfId="16" priority="6" operator="equal">
      <formula>"DEBT"</formula>
    </cfRule>
  </conditionalFormatting>
  <conditionalFormatting sqref="E78">
    <cfRule type="cellIs" dxfId="15" priority="4" operator="equal">
      <formula>"WANTS"</formula>
    </cfRule>
  </conditionalFormatting>
  <conditionalFormatting sqref="F78">
    <cfRule type="cellIs" dxfId="14" priority="1" operator="equal">
      <formula>"LIB"</formula>
    </cfRule>
    <cfRule type="cellIs" dxfId="13" priority="2" operator="equal">
      <formula>"Done"</formula>
    </cfRule>
    <cfRule type="cellIs" dxfId="12" priority="3" operator="equal">
      <formula>"Not Done"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98DA-2729-43AC-A491-449281604C2E}">
  <dimension ref="A1:G20"/>
  <sheetViews>
    <sheetView workbookViewId="0">
      <selection activeCell="E23" sqref="E23:F27"/>
    </sheetView>
  </sheetViews>
  <sheetFormatPr defaultRowHeight="14.5" x14ac:dyDescent="0.35"/>
  <cols>
    <col min="1" max="1" width="23.7265625" bestFit="1" customWidth="1"/>
    <col min="2" max="2" width="11.6328125" bestFit="1" customWidth="1"/>
    <col min="3" max="3" width="9.90625" bestFit="1" customWidth="1"/>
    <col min="4" max="4" width="16.54296875" customWidth="1"/>
    <col min="5" max="5" width="28.1796875" customWidth="1"/>
    <col min="6" max="6" width="10.1796875" customWidth="1"/>
  </cols>
  <sheetData>
    <row r="1" spans="1:7" x14ac:dyDescent="0.35">
      <c r="A1" t="s">
        <v>291</v>
      </c>
      <c r="B1">
        <v>8705</v>
      </c>
    </row>
    <row r="2" spans="1:7" x14ac:dyDescent="0.35">
      <c r="A2" t="s">
        <v>292</v>
      </c>
      <c r="B2">
        <f>101800+15710</f>
        <v>117510</v>
      </c>
    </row>
    <row r="3" spans="1:7" x14ac:dyDescent="0.35">
      <c r="A3" t="s">
        <v>293</v>
      </c>
      <c r="B3">
        <v>30400</v>
      </c>
    </row>
    <row r="4" spans="1:7" x14ac:dyDescent="0.35">
      <c r="A4" t="s">
        <v>294</v>
      </c>
      <c r="B4">
        <v>50000</v>
      </c>
    </row>
    <row r="6" spans="1:7" x14ac:dyDescent="0.35">
      <c r="A6" s="5" t="s">
        <v>20</v>
      </c>
      <c r="B6" s="5" t="s">
        <v>57</v>
      </c>
      <c r="C6" s="5" t="s">
        <v>58</v>
      </c>
      <c r="D6" s="5" t="s">
        <v>59</v>
      </c>
      <c r="E6" s="5" t="s">
        <v>69</v>
      </c>
    </row>
    <row r="7" spans="1:7" x14ac:dyDescent="0.35">
      <c r="A7">
        <v>3000</v>
      </c>
      <c r="B7" t="s">
        <v>33</v>
      </c>
      <c r="C7" t="s">
        <v>36</v>
      </c>
      <c r="D7" t="s">
        <v>60</v>
      </c>
      <c r="E7" t="s">
        <v>296</v>
      </c>
    </row>
    <row r="8" spans="1:7" x14ac:dyDescent="0.35">
      <c r="A8">
        <v>30000</v>
      </c>
      <c r="B8" t="s">
        <v>33</v>
      </c>
      <c r="C8" t="s">
        <v>36</v>
      </c>
      <c r="D8" t="s">
        <v>60</v>
      </c>
      <c r="E8" t="s">
        <v>67</v>
      </c>
    </row>
    <row r="9" spans="1:7" x14ac:dyDescent="0.35">
      <c r="A9">
        <v>13800</v>
      </c>
      <c r="B9" t="s">
        <v>33</v>
      </c>
      <c r="C9" t="s">
        <v>36</v>
      </c>
      <c r="D9" t="s">
        <v>60</v>
      </c>
      <c r="E9" t="s">
        <v>68</v>
      </c>
    </row>
    <row r="10" spans="1:7" x14ac:dyDescent="0.35">
      <c r="A10">
        <v>10000</v>
      </c>
      <c r="B10" t="s">
        <v>35</v>
      </c>
      <c r="C10" t="s">
        <v>36</v>
      </c>
      <c r="D10" t="s">
        <v>60</v>
      </c>
      <c r="E10" t="s">
        <v>295</v>
      </c>
    </row>
    <row r="11" spans="1:7" x14ac:dyDescent="0.35">
      <c r="A11">
        <v>20000</v>
      </c>
      <c r="B11" t="s">
        <v>34</v>
      </c>
      <c r="C11" t="s">
        <v>10</v>
      </c>
      <c r="D11" t="s">
        <v>60</v>
      </c>
      <c r="E11" t="s">
        <v>64</v>
      </c>
      <c r="F11" t="s">
        <v>63</v>
      </c>
      <c r="G11" t="s">
        <v>65</v>
      </c>
    </row>
    <row r="12" spans="1:7" x14ac:dyDescent="0.35">
      <c r="A12">
        <v>5000</v>
      </c>
      <c r="B12" t="s">
        <v>62</v>
      </c>
      <c r="C12" t="s">
        <v>10</v>
      </c>
      <c r="D12" t="s">
        <v>60</v>
      </c>
      <c r="E12" t="s">
        <v>66</v>
      </c>
    </row>
    <row r="13" spans="1:7" x14ac:dyDescent="0.35">
      <c r="A13">
        <v>14000</v>
      </c>
      <c r="B13" t="s">
        <v>35</v>
      </c>
      <c r="C13" t="s">
        <v>36</v>
      </c>
      <c r="D13" t="s">
        <v>60</v>
      </c>
      <c r="E13" t="s">
        <v>107</v>
      </c>
    </row>
    <row r="14" spans="1:7" x14ac:dyDescent="0.35">
      <c r="A14">
        <v>21000</v>
      </c>
      <c r="B14" t="s">
        <v>2</v>
      </c>
      <c r="C14" t="s">
        <v>61</v>
      </c>
      <c r="D14" t="s">
        <v>60</v>
      </c>
    </row>
    <row r="16" spans="1:7" x14ac:dyDescent="0.35">
      <c r="A16" s="5" t="s">
        <v>145</v>
      </c>
      <c r="B16" t="s">
        <v>289</v>
      </c>
    </row>
    <row r="17" spans="1:6" x14ac:dyDescent="0.35">
      <c r="A17" s="5" t="s">
        <v>152</v>
      </c>
      <c r="B17" s="5" t="s">
        <v>148</v>
      </c>
      <c r="C17" s="5" t="s">
        <v>149</v>
      </c>
      <c r="D17" s="5" t="s">
        <v>151</v>
      </c>
      <c r="E17" s="5" t="s">
        <v>150</v>
      </c>
      <c r="F17" s="5" t="s">
        <v>154</v>
      </c>
    </row>
    <row r="18" spans="1:6" x14ac:dyDescent="0.35">
      <c r="A18" t="s">
        <v>10</v>
      </c>
      <c r="D18" s="63">
        <f>24999-650</f>
        <v>24349</v>
      </c>
      <c r="E18">
        <v>24999</v>
      </c>
      <c r="F18" t="s">
        <v>290</v>
      </c>
    </row>
    <row r="19" spans="1:6" x14ac:dyDescent="0.35">
      <c r="A19" t="s">
        <v>36</v>
      </c>
      <c r="D19" s="63">
        <f>+E19-15725</f>
        <v>55055</v>
      </c>
      <c r="E19">
        <v>70780</v>
      </c>
      <c r="F19" t="s">
        <v>290</v>
      </c>
    </row>
    <row r="20" spans="1:6" x14ac:dyDescent="0.35">
      <c r="A20" t="s">
        <v>61</v>
      </c>
      <c r="D20" s="2">
        <v>21731</v>
      </c>
      <c r="E20">
        <v>21731</v>
      </c>
      <c r="F20" t="s">
        <v>27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FA30-1EFA-4C67-A054-A88F37796921}">
  <sheetPr codeName="Sheet1"/>
  <dimension ref="A1:S122"/>
  <sheetViews>
    <sheetView workbookViewId="0">
      <selection activeCell="H75" sqref="H75"/>
    </sheetView>
  </sheetViews>
  <sheetFormatPr defaultRowHeight="14.5" x14ac:dyDescent="0.35"/>
  <cols>
    <col min="1" max="1" width="25.36328125" customWidth="1"/>
    <col min="2" max="2" width="10.7265625" customWidth="1"/>
    <col min="3" max="3" width="13.1796875" bestFit="1" customWidth="1"/>
    <col min="4" max="4" width="18.26953125" customWidth="1"/>
    <col min="5" max="5" width="19.26953125" customWidth="1"/>
    <col min="6" max="6" width="10.26953125" customWidth="1"/>
    <col min="7" max="7" width="21.08984375" bestFit="1" customWidth="1"/>
    <col min="8" max="8" width="9.08984375" customWidth="1"/>
    <col min="16" max="16" width="9.26953125" bestFit="1" customWidth="1"/>
  </cols>
  <sheetData>
    <row r="1" spans="1:19" x14ac:dyDescent="0.35">
      <c r="A1" s="5" t="s">
        <v>356</v>
      </c>
    </row>
    <row r="2" spans="1:19" x14ac:dyDescent="0.35">
      <c r="A2" t="s">
        <v>41</v>
      </c>
      <c r="B2" t="s">
        <v>37</v>
      </c>
      <c r="C2" s="7" t="s">
        <v>14</v>
      </c>
      <c r="D2" s="7" t="s">
        <v>27</v>
      </c>
      <c r="E2" s="7" t="s">
        <v>4</v>
      </c>
      <c r="F2" s="7" t="s">
        <v>5</v>
      </c>
    </row>
    <row r="3" spans="1:19" x14ac:dyDescent="0.35">
      <c r="A3" t="s">
        <v>44</v>
      </c>
      <c r="B3" t="s">
        <v>38</v>
      </c>
      <c r="C3">
        <v>7927</v>
      </c>
      <c r="D3">
        <v>2375</v>
      </c>
      <c r="E3">
        <v>8442</v>
      </c>
      <c r="F3">
        <v>56297</v>
      </c>
    </row>
    <row r="4" spans="1:19" x14ac:dyDescent="0.35">
      <c r="A4" t="s">
        <v>44</v>
      </c>
      <c r="B4" t="s">
        <v>39</v>
      </c>
      <c r="C4">
        <v>21603</v>
      </c>
      <c r="D4">
        <v>3052</v>
      </c>
      <c r="E4">
        <v>9859</v>
      </c>
      <c r="F4">
        <v>14507</v>
      </c>
    </row>
    <row r="5" spans="1:19" x14ac:dyDescent="0.35">
      <c r="A5" t="s">
        <v>44</v>
      </c>
      <c r="B5" t="s">
        <v>40</v>
      </c>
      <c r="C5">
        <v>13705</v>
      </c>
      <c r="D5">
        <v>652</v>
      </c>
      <c r="E5">
        <v>6233</v>
      </c>
      <c r="F5">
        <v>66</v>
      </c>
    </row>
    <row r="8" spans="1:19" x14ac:dyDescent="0.35">
      <c r="A8" t="s">
        <v>41</v>
      </c>
      <c r="B8" t="s">
        <v>37</v>
      </c>
      <c r="C8" s="7" t="s">
        <v>14</v>
      </c>
      <c r="D8" s="7" t="s">
        <v>27</v>
      </c>
      <c r="E8" s="7" t="s">
        <v>4</v>
      </c>
      <c r="F8" s="7" t="s">
        <v>5</v>
      </c>
      <c r="P8" s="22"/>
      <c r="S8" s="22"/>
    </row>
    <row r="9" spans="1:19" x14ac:dyDescent="0.35">
      <c r="A9" t="s">
        <v>43</v>
      </c>
      <c r="B9" t="s">
        <v>38</v>
      </c>
      <c r="C9">
        <v>13705</v>
      </c>
      <c r="D9">
        <v>652</v>
      </c>
      <c r="E9">
        <v>6233</v>
      </c>
      <c r="F9">
        <v>82278</v>
      </c>
      <c r="P9" s="22"/>
      <c r="S9" s="22"/>
    </row>
    <row r="10" spans="1:19" x14ac:dyDescent="0.35">
      <c r="A10" t="s">
        <v>43</v>
      </c>
      <c r="B10" t="s">
        <v>39</v>
      </c>
      <c r="C10">
        <v>24623</v>
      </c>
      <c r="D10">
        <v>1603</v>
      </c>
      <c r="E10">
        <v>7233</v>
      </c>
      <c r="F10">
        <v>37672</v>
      </c>
      <c r="H10" t="s">
        <v>45</v>
      </c>
      <c r="P10" s="22"/>
      <c r="S10" s="22"/>
    </row>
    <row r="11" spans="1:19" x14ac:dyDescent="0.35">
      <c r="A11" t="s">
        <v>43</v>
      </c>
      <c r="B11" t="s">
        <v>40</v>
      </c>
      <c r="C11">
        <v>11822</v>
      </c>
      <c r="D11">
        <v>1603</v>
      </c>
      <c r="E11">
        <v>5168</v>
      </c>
      <c r="F11">
        <v>478</v>
      </c>
      <c r="P11" s="22"/>
      <c r="S11" s="22"/>
    </row>
    <row r="12" spans="1:19" x14ac:dyDescent="0.35">
      <c r="E12" s="44"/>
      <c r="H12" s="44"/>
      <c r="P12" s="22"/>
      <c r="S12" s="22"/>
    </row>
    <row r="13" spans="1:19" x14ac:dyDescent="0.35">
      <c r="P13" s="22"/>
    </row>
    <row r="14" spans="1:19" x14ac:dyDescent="0.35">
      <c r="A14" t="s">
        <v>41</v>
      </c>
      <c r="B14" t="s">
        <v>37</v>
      </c>
      <c r="C14" s="7" t="s">
        <v>14</v>
      </c>
      <c r="D14" s="7" t="s">
        <v>27</v>
      </c>
      <c r="E14" s="7" t="s">
        <v>4</v>
      </c>
      <c r="F14" s="7" t="s">
        <v>5</v>
      </c>
    </row>
    <row r="15" spans="1:19" x14ac:dyDescent="0.35">
      <c r="A15" t="s">
        <v>42</v>
      </c>
      <c r="B15" t="s">
        <v>38</v>
      </c>
      <c r="C15">
        <v>11822</v>
      </c>
      <c r="D15">
        <v>1603</v>
      </c>
      <c r="E15">
        <v>5168</v>
      </c>
      <c r="F15">
        <v>61264</v>
      </c>
      <c r="H15" t="s">
        <v>46</v>
      </c>
    </row>
    <row r="16" spans="1:19" x14ac:dyDescent="0.35">
      <c r="A16" t="s">
        <v>42</v>
      </c>
      <c r="B16" t="s">
        <v>39</v>
      </c>
      <c r="C16">
        <v>3777</v>
      </c>
      <c r="D16">
        <v>3603</v>
      </c>
      <c r="E16">
        <v>5768</v>
      </c>
      <c r="F16">
        <v>7657</v>
      </c>
      <c r="H16" t="s">
        <v>47</v>
      </c>
      <c r="O16" s="22"/>
      <c r="P16" s="22"/>
      <c r="S16" s="22"/>
    </row>
    <row r="17" spans="1:19" x14ac:dyDescent="0.35">
      <c r="A17" t="s">
        <v>42</v>
      </c>
      <c r="B17" t="s">
        <v>40</v>
      </c>
      <c r="L17" s="51"/>
      <c r="M17" s="51"/>
      <c r="O17" s="22" t="s">
        <v>190</v>
      </c>
      <c r="P17">
        <v>27163</v>
      </c>
      <c r="S17" s="22"/>
    </row>
    <row r="18" spans="1:19" x14ac:dyDescent="0.35">
      <c r="O18" s="22" t="s">
        <v>191</v>
      </c>
      <c r="P18">
        <v>10865</v>
      </c>
      <c r="S18" s="22"/>
    </row>
    <row r="19" spans="1:19" x14ac:dyDescent="0.35">
      <c r="L19" s="51"/>
      <c r="M19" s="51"/>
      <c r="O19" s="22" t="s">
        <v>192</v>
      </c>
      <c r="P19">
        <v>200</v>
      </c>
      <c r="S19" s="22"/>
    </row>
    <row r="20" spans="1:19" x14ac:dyDescent="0.35">
      <c r="A20" s="5" t="s">
        <v>349</v>
      </c>
      <c r="C20" t="s">
        <v>357</v>
      </c>
      <c r="L20" s="51"/>
      <c r="M20" s="52"/>
      <c r="O20" s="22" t="s">
        <v>193</v>
      </c>
      <c r="P20">
        <v>1500</v>
      </c>
      <c r="S20" s="22"/>
    </row>
    <row r="21" spans="1:19" x14ac:dyDescent="0.35">
      <c r="A21" s="5" t="s">
        <v>152</v>
      </c>
      <c r="B21" s="5" t="s">
        <v>148</v>
      </c>
      <c r="C21" s="5" t="s">
        <v>149</v>
      </c>
      <c r="D21" s="5" t="s">
        <v>151</v>
      </c>
      <c r="E21" s="5" t="s">
        <v>150</v>
      </c>
      <c r="F21" s="5" t="s">
        <v>154</v>
      </c>
      <c r="G21" s="5" t="s">
        <v>178</v>
      </c>
      <c r="O21" s="22" t="s">
        <v>194</v>
      </c>
      <c r="P21">
        <v>3000</v>
      </c>
      <c r="S21" s="22"/>
    </row>
    <row r="22" spans="1:19" x14ac:dyDescent="0.35">
      <c r="A22" t="s">
        <v>146</v>
      </c>
      <c r="B22" t="s">
        <v>100</v>
      </c>
      <c r="C22" t="s">
        <v>147</v>
      </c>
      <c r="D22">
        <v>3170</v>
      </c>
      <c r="E22">
        <v>2961</v>
      </c>
      <c r="F22" t="s">
        <v>155</v>
      </c>
      <c r="G22" t="s">
        <v>180</v>
      </c>
      <c r="O22" s="22" t="s">
        <v>195</v>
      </c>
      <c r="P22">
        <v>21881</v>
      </c>
      <c r="S22" s="22"/>
    </row>
    <row r="23" spans="1:19" x14ac:dyDescent="0.35">
      <c r="A23" t="s">
        <v>27</v>
      </c>
      <c r="B23" t="s">
        <v>100</v>
      </c>
      <c r="C23" t="s">
        <v>153</v>
      </c>
      <c r="D23">
        <v>447</v>
      </c>
      <c r="E23">
        <v>404</v>
      </c>
      <c r="F23" t="s">
        <v>155</v>
      </c>
      <c r="G23" t="s">
        <v>180</v>
      </c>
      <c r="O23" s="22" t="s">
        <v>271</v>
      </c>
      <c r="P23">
        <v>21635</v>
      </c>
      <c r="S23" s="22"/>
    </row>
    <row r="24" spans="1:19" x14ac:dyDescent="0.35">
      <c r="A24" t="s">
        <v>156</v>
      </c>
      <c r="B24" t="s">
        <v>10</v>
      </c>
      <c r="C24" t="s">
        <v>157</v>
      </c>
      <c r="D24">
        <v>58496</v>
      </c>
      <c r="E24">
        <v>57997</v>
      </c>
      <c r="F24" t="s">
        <v>155</v>
      </c>
      <c r="G24" t="s">
        <v>179</v>
      </c>
      <c r="O24" s="22" t="s">
        <v>196</v>
      </c>
      <c r="P24">
        <v>1500</v>
      </c>
      <c r="S24" s="22"/>
    </row>
    <row r="25" spans="1:19" x14ac:dyDescent="0.35">
      <c r="A25" t="s">
        <v>158</v>
      </c>
      <c r="B25" t="s">
        <v>10</v>
      </c>
      <c r="C25" t="s">
        <v>159</v>
      </c>
      <c r="D25">
        <v>37127</v>
      </c>
      <c r="E25">
        <v>37513</v>
      </c>
      <c r="F25" t="s">
        <v>155</v>
      </c>
      <c r="G25" t="s">
        <v>181</v>
      </c>
      <c r="O25" s="22" t="s">
        <v>197</v>
      </c>
      <c r="P25" s="22">
        <v>-1800</v>
      </c>
      <c r="S25" s="22"/>
    </row>
    <row r="26" spans="1:19" x14ac:dyDescent="0.35">
      <c r="A26" t="s">
        <v>160</v>
      </c>
      <c r="B26" t="s">
        <v>10</v>
      </c>
      <c r="C26" t="s">
        <v>161</v>
      </c>
      <c r="D26">
        <v>33483</v>
      </c>
      <c r="E26">
        <v>32014</v>
      </c>
      <c r="F26" t="s">
        <v>155</v>
      </c>
      <c r="G26" t="s">
        <v>181</v>
      </c>
      <c r="O26" s="22" t="s">
        <v>198</v>
      </c>
      <c r="P26" s="22">
        <v>-200</v>
      </c>
      <c r="S26" s="22"/>
    </row>
    <row r="27" spans="1:19" x14ac:dyDescent="0.35">
      <c r="A27" t="s">
        <v>162</v>
      </c>
      <c r="B27" t="s">
        <v>10</v>
      </c>
      <c r="C27" t="s">
        <v>163</v>
      </c>
      <c r="D27">
        <v>5758</v>
      </c>
      <c r="E27">
        <v>5000</v>
      </c>
      <c r="F27" t="s">
        <v>155</v>
      </c>
      <c r="G27" t="s">
        <v>330</v>
      </c>
      <c r="O27" s="22" t="s">
        <v>199</v>
      </c>
      <c r="P27" s="22">
        <v>-3532</v>
      </c>
      <c r="S27" s="22"/>
    </row>
    <row r="28" spans="1:19" x14ac:dyDescent="0.35">
      <c r="A28" t="s">
        <v>164</v>
      </c>
      <c r="B28" t="s">
        <v>10</v>
      </c>
      <c r="C28" t="s">
        <v>165</v>
      </c>
      <c r="D28">
        <v>54514</v>
      </c>
      <c r="E28">
        <v>50340</v>
      </c>
      <c r="F28" t="s">
        <v>4</v>
      </c>
      <c r="G28" t="s">
        <v>347</v>
      </c>
      <c r="O28" s="22"/>
      <c r="P28" s="22"/>
      <c r="S28" s="22"/>
    </row>
    <row r="29" spans="1:19" x14ac:dyDescent="0.35">
      <c r="A29" t="s">
        <v>166</v>
      </c>
      <c r="B29" t="s">
        <v>100</v>
      </c>
      <c r="C29" t="s">
        <v>167</v>
      </c>
      <c r="D29">
        <v>4377</v>
      </c>
      <c r="E29">
        <v>4557</v>
      </c>
      <c r="F29" t="s">
        <v>168</v>
      </c>
      <c r="G29" t="s">
        <v>182</v>
      </c>
      <c r="O29" s="22"/>
      <c r="P29" s="22"/>
      <c r="S29" s="22"/>
    </row>
    <row r="30" spans="1:19" x14ac:dyDescent="0.35">
      <c r="A30" t="s">
        <v>169</v>
      </c>
      <c r="B30" t="s">
        <v>100</v>
      </c>
      <c r="C30" t="s">
        <v>170</v>
      </c>
      <c r="D30">
        <v>2315</v>
      </c>
      <c r="E30">
        <v>3557</v>
      </c>
      <c r="F30" t="s">
        <v>168</v>
      </c>
      <c r="G30" t="s">
        <v>182</v>
      </c>
      <c r="O30" s="22"/>
      <c r="P30" s="22"/>
      <c r="S30" s="22"/>
    </row>
    <row r="31" spans="1:19" x14ac:dyDescent="0.35">
      <c r="A31" t="s">
        <v>171</v>
      </c>
      <c r="B31" t="s">
        <v>100</v>
      </c>
      <c r="C31" t="s">
        <v>172</v>
      </c>
      <c r="D31">
        <v>17451.25</v>
      </c>
      <c r="E31">
        <v>14950</v>
      </c>
      <c r="F31" t="s">
        <v>168</v>
      </c>
      <c r="G31" t="s">
        <v>347</v>
      </c>
      <c r="O31" s="22"/>
      <c r="P31" s="22"/>
      <c r="S31" s="22"/>
    </row>
    <row r="32" spans="1:19" x14ac:dyDescent="0.35">
      <c r="A32" t="s">
        <v>173</v>
      </c>
      <c r="B32" t="s">
        <v>100</v>
      </c>
      <c r="C32" t="s">
        <v>170</v>
      </c>
      <c r="D32">
        <v>370</v>
      </c>
      <c r="E32">
        <v>437</v>
      </c>
      <c r="F32" t="s">
        <v>168</v>
      </c>
      <c r="G32" t="s">
        <v>347</v>
      </c>
      <c r="O32" s="22"/>
      <c r="P32" s="22"/>
      <c r="S32" s="22"/>
    </row>
    <row r="33" spans="1:19" x14ac:dyDescent="0.35">
      <c r="A33" t="s">
        <v>174</v>
      </c>
      <c r="B33" t="s">
        <v>100</v>
      </c>
      <c r="C33" t="s">
        <v>175</v>
      </c>
      <c r="D33">
        <v>3939</v>
      </c>
      <c r="E33">
        <v>3266</v>
      </c>
      <c r="F33" t="s">
        <v>168</v>
      </c>
      <c r="G33" t="s">
        <v>347</v>
      </c>
      <c r="O33" s="22"/>
      <c r="P33" s="22"/>
      <c r="S33" s="22"/>
    </row>
    <row r="34" spans="1:19" x14ac:dyDescent="0.35">
      <c r="C34" t="s">
        <v>361</v>
      </c>
      <c r="D34">
        <f>SUM(D22:D33)</f>
        <v>221447.25</v>
      </c>
      <c r="E34" s="85">
        <f>SUM(E22:E33)</f>
        <v>212996</v>
      </c>
      <c r="F34" t="s">
        <v>359</v>
      </c>
      <c r="O34" s="22"/>
      <c r="P34" s="22"/>
      <c r="S34" s="22"/>
    </row>
    <row r="35" spans="1:19" x14ac:dyDescent="0.35">
      <c r="C35" t="s">
        <v>358</v>
      </c>
      <c r="D35" s="83">
        <f>100-(E34*100)/D34</f>
        <v>3.8163716189747277</v>
      </c>
      <c r="E35" s="84">
        <f>E34*1.12</f>
        <v>238555.52000000002</v>
      </c>
      <c r="F35" t="s">
        <v>360</v>
      </c>
      <c r="O35" s="22"/>
      <c r="P35" s="22"/>
      <c r="S35" s="22"/>
    </row>
    <row r="36" spans="1:19" x14ac:dyDescent="0.35">
      <c r="D36" s="14"/>
      <c r="O36" s="22"/>
      <c r="P36" s="22"/>
      <c r="S36" s="22"/>
    </row>
    <row r="37" spans="1:19" x14ac:dyDescent="0.35">
      <c r="A37" s="5" t="s">
        <v>348</v>
      </c>
      <c r="D37" s="14"/>
      <c r="O37" s="22"/>
      <c r="P37" s="22"/>
      <c r="S37" s="22"/>
    </row>
    <row r="38" spans="1:19" x14ac:dyDescent="0.35">
      <c r="A38" s="5" t="s">
        <v>333</v>
      </c>
      <c r="B38" t="s">
        <v>334</v>
      </c>
      <c r="C38" t="s">
        <v>335</v>
      </c>
      <c r="D38" t="s">
        <v>336</v>
      </c>
      <c r="E38" t="s">
        <v>341</v>
      </c>
      <c r="F38" t="s">
        <v>127</v>
      </c>
      <c r="O38" s="22"/>
      <c r="P38" s="22"/>
      <c r="S38" s="22"/>
    </row>
    <row r="39" spans="1:19" x14ac:dyDescent="0.35">
      <c r="A39" t="s">
        <v>331</v>
      </c>
      <c r="B39" t="s">
        <v>332</v>
      </c>
      <c r="C39" t="s">
        <v>337</v>
      </c>
      <c r="D39" s="14" t="s">
        <v>338</v>
      </c>
      <c r="E39" t="s">
        <v>346</v>
      </c>
      <c r="O39" s="22"/>
      <c r="P39" s="22"/>
      <c r="S39" s="22"/>
    </row>
    <row r="40" spans="1:19" x14ac:dyDescent="0.35">
      <c r="A40" t="s">
        <v>339</v>
      </c>
      <c r="B40" t="s">
        <v>340</v>
      </c>
      <c r="D40" s="14">
        <f>3300*12</f>
        <v>39600</v>
      </c>
      <c r="E40" t="s">
        <v>342</v>
      </c>
      <c r="O40" s="22"/>
      <c r="P40" s="22"/>
      <c r="S40" s="22"/>
    </row>
    <row r="41" spans="1:19" x14ac:dyDescent="0.35">
      <c r="A41" t="s">
        <v>343</v>
      </c>
      <c r="B41" t="s">
        <v>344</v>
      </c>
      <c r="D41" s="14"/>
      <c r="F41" t="s">
        <v>345</v>
      </c>
      <c r="O41" s="22"/>
      <c r="P41" s="22"/>
      <c r="S41" s="22"/>
    </row>
    <row r="42" spans="1:19" x14ac:dyDescent="0.35">
      <c r="D42" s="14"/>
      <c r="O42" s="22"/>
      <c r="P42" s="22"/>
      <c r="S42" s="22"/>
    </row>
    <row r="43" spans="1:19" x14ac:dyDescent="0.35">
      <c r="A43" s="5"/>
      <c r="O43" s="22"/>
      <c r="P43" s="22"/>
      <c r="S43" s="22"/>
    </row>
    <row r="44" spans="1:19" x14ac:dyDescent="0.35">
      <c r="A44" s="5" t="s">
        <v>350</v>
      </c>
      <c r="H44" t="s">
        <v>103</v>
      </c>
      <c r="J44" t="s">
        <v>101</v>
      </c>
      <c r="K44" t="s">
        <v>102</v>
      </c>
      <c r="O44" s="22"/>
      <c r="P44" s="22"/>
      <c r="S44" s="22"/>
    </row>
    <row r="45" spans="1:19" x14ac:dyDescent="0.35">
      <c r="B45" t="s">
        <v>94</v>
      </c>
      <c r="C45" s="2">
        <v>50000</v>
      </c>
      <c r="D45" s="2"/>
      <c r="E45" s="2"/>
      <c r="F45" s="2"/>
      <c r="G45" s="2"/>
      <c r="H45" s="2">
        <f>15426.88+19500</f>
        <v>34926.879999999997</v>
      </c>
      <c r="I45" s="2"/>
      <c r="J45" s="2">
        <v>7500</v>
      </c>
      <c r="K45" s="2">
        <v>7500</v>
      </c>
      <c r="O45" s="22"/>
      <c r="P45" s="22"/>
      <c r="S45" s="22"/>
    </row>
    <row r="46" spans="1:19" x14ac:dyDescent="0.35">
      <c r="B46" t="s">
        <v>19</v>
      </c>
      <c r="C46">
        <f>32000</f>
        <v>32000</v>
      </c>
      <c r="D46" t="s">
        <v>109</v>
      </c>
      <c r="E46" t="s">
        <v>108</v>
      </c>
      <c r="J46">
        <f>3305120+295000+250000</f>
        <v>3850120</v>
      </c>
      <c r="K46">
        <v>4000000</v>
      </c>
      <c r="O46" s="22"/>
      <c r="P46" s="22"/>
      <c r="S46" s="22"/>
    </row>
    <row r="47" spans="1:19" x14ac:dyDescent="0.35">
      <c r="B47" t="s">
        <v>10</v>
      </c>
      <c r="C47">
        <f>6000+50000+61000+37500</f>
        <v>154500</v>
      </c>
      <c r="D47" t="s">
        <v>95</v>
      </c>
      <c r="E47" t="s">
        <v>96</v>
      </c>
      <c r="F47" t="s">
        <v>97</v>
      </c>
      <c r="G47" t="s">
        <v>98</v>
      </c>
      <c r="H47" s="1" t="s">
        <v>99</v>
      </c>
      <c r="O47" s="22"/>
      <c r="P47" s="22"/>
      <c r="S47" s="22"/>
    </row>
    <row r="48" spans="1:19" x14ac:dyDescent="0.35">
      <c r="B48" t="s">
        <v>100</v>
      </c>
      <c r="C48">
        <f>3365+26804</f>
        <v>30169</v>
      </c>
      <c r="O48" s="22"/>
      <c r="P48" s="22"/>
      <c r="S48" s="22"/>
    </row>
    <row r="49" spans="1:19" x14ac:dyDescent="0.35">
      <c r="G49">
        <f>42601-800</f>
        <v>41801</v>
      </c>
      <c r="H49">
        <v>12</v>
      </c>
      <c r="I49">
        <f>H49*G49</f>
        <v>501612</v>
      </c>
      <c r="J49" s="18">
        <f>I49*1.1</f>
        <v>551773.20000000007</v>
      </c>
      <c r="K49" s="18">
        <f>J49-186500</f>
        <v>365273.20000000007</v>
      </c>
      <c r="O49" s="22"/>
      <c r="P49" s="21"/>
      <c r="S49" s="22"/>
    </row>
    <row r="50" spans="1:19" x14ac:dyDescent="0.35">
      <c r="G50">
        <v>33300</v>
      </c>
      <c r="H50">
        <v>12</v>
      </c>
      <c r="I50">
        <f>G50*H50</f>
        <v>399600</v>
      </c>
      <c r="J50" s="18">
        <f>I50*1.1</f>
        <v>439560.00000000006</v>
      </c>
      <c r="K50" s="18">
        <f>J50-186500</f>
        <v>253060.00000000006</v>
      </c>
      <c r="O50" s="22"/>
      <c r="P50" s="22"/>
      <c r="S50" s="22"/>
    </row>
    <row r="51" spans="1:19" x14ac:dyDescent="0.35">
      <c r="G51" s="1">
        <v>14500</v>
      </c>
      <c r="H51" s="1">
        <v>12</v>
      </c>
      <c r="I51" s="1">
        <f>G51*H51</f>
        <v>174000</v>
      </c>
      <c r="J51" s="1">
        <f>I51*1.1</f>
        <v>191400.00000000003</v>
      </c>
      <c r="K51" s="1">
        <f>J51-118000</f>
        <v>73400.000000000029</v>
      </c>
      <c r="O51" s="22"/>
      <c r="P51" s="22"/>
      <c r="S51" s="22"/>
    </row>
    <row r="52" spans="1:19" x14ac:dyDescent="0.35">
      <c r="F52" t="s">
        <v>104</v>
      </c>
      <c r="G52">
        <v>39501</v>
      </c>
      <c r="H52">
        <f>12*G52</f>
        <v>474012</v>
      </c>
      <c r="I52">
        <f>G52*100/56301</f>
        <v>70.160387914957099</v>
      </c>
      <c r="O52" s="22"/>
      <c r="P52" s="22"/>
      <c r="S52" s="22"/>
    </row>
    <row r="53" spans="1:19" x14ac:dyDescent="0.35">
      <c r="F53" t="s">
        <v>105</v>
      </c>
      <c r="G53">
        <v>16602</v>
      </c>
      <c r="H53">
        <f>12*G53</f>
        <v>199224</v>
      </c>
      <c r="I53">
        <f>G53*100/56301</f>
        <v>29.487930942612032</v>
      </c>
      <c r="O53" s="22"/>
      <c r="P53" s="22"/>
      <c r="S53" s="22"/>
    </row>
    <row r="54" spans="1:19" x14ac:dyDescent="0.35">
      <c r="O54" s="22"/>
      <c r="P54" s="22"/>
      <c r="S54" s="22"/>
    </row>
    <row r="55" spans="1:19" x14ac:dyDescent="0.35">
      <c r="A55" s="5" t="s">
        <v>351</v>
      </c>
      <c r="K55" s="14"/>
      <c r="O55" s="22"/>
      <c r="P55" s="22"/>
      <c r="S55" s="22"/>
    </row>
    <row r="56" spans="1:19" x14ac:dyDescent="0.35">
      <c r="A56" s="5"/>
      <c r="B56" t="s">
        <v>176</v>
      </c>
      <c r="C56" t="s">
        <v>352</v>
      </c>
      <c r="D56" t="s">
        <v>353</v>
      </c>
      <c r="E56" t="s">
        <v>354</v>
      </c>
      <c r="K56" s="14"/>
      <c r="O56" s="22"/>
      <c r="P56" s="22"/>
      <c r="S56" s="22"/>
    </row>
    <row r="57" spans="1:19" x14ac:dyDescent="0.35">
      <c r="A57" s="5"/>
      <c r="B57" t="s">
        <v>177</v>
      </c>
      <c r="K57" s="14"/>
      <c r="O57" s="22"/>
      <c r="P57" s="22"/>
      <c r="S57" s="22"/>
    </row>
    <row r="58" spans="1:19" x14ac:dyDescent="0.35">
      <c r="A58" s="5"/>
      <c r="B58" t="s">
        <v>239</v>
      </c>
      <c r="C58" t="s">
        <v>240</v>
      </c>
      <c r="D58" t="s">
        <v>241</v>
      </c>
      <c r="K58" s="14"/>
      <c r="O58" s="22"/>
      <c r="P58" s="22"/>
      <c r="S58" s="22"/>
    </row>
    <row r="59" spans="1:19" x14ac:dyDescent="0.35">
      <c r="A59" s="5"/>
      <c r="K59" s="14"/>
      <c r="O59" s="22"/>
      <c r="P59" s="22"/>
      <c r="S59" s="22"/>
    </row>
    <row r="60" spans="1:19" x14ac:dyDescent="0.35">
      <c r="A60" s="5"/>
      <c r="K60" s="14"/>
      <c r="O60" s="22"/>
      <c r="P60" s="22"/>
      <c r="S60" s="22"/>
    </row>
    <row r="61" spans="1:19" x14ac:dyDescent="0.35">
      <c r="A61" s="5" t="s">
        <v>355</v>
      </c>
      <c r="K61" s="14"/>
      <c r="O61" s="22"/>
      <c r="P61" s="22"/>
      <c r="S61" s="22"/>
    </row>
    <row r="62" spans="1:19" x14ac:dyDescent="0.35">
      <c r="A62" t="s">
        <v>362</v>
      </c>
      <c r="B62" t="s">
        <v>363</v>
      </c>
      <c r="C62" t="s">
        <v>12</v>
      </c>
      <c r="D62" t="s">
        <v>365</v>
      </c>
      <c r="E62" t="s">
        <v>366</v>
      </c>
      <c r="F62" t="s">
        <v>367</v>
      </c>
      <c r="G62" t="s">
        <v>368</v>
      </c>
      <c r="O62" s="22"/>
      <c r="P62" s="22"/>
      <c r="S62" s="22"/>
    </row>
    <row r="63" spans="1:19" x14ac:dyDescent="0.35">
      <c r="A63">
        <v>715000</v>
      </c>
      <c r="B63" t="s">
        <v>364</v>
      </c>
      <c r="C63">
        <v>10987</v>
      </c>
      <c r="D63">
        <v>591093</v>
      </c>
      <c r="E63" s="21">
        <v>207800</v>
      </c>
      <c r="F63" s="21">
        <v>73859</v>
      </c>
      <c r="G63">
        <v>50762</v>
      </c>
      <c r="O63" s="22"/>
      <c r="P63" s="22"/>
      <c r="S63" s="22"/>
    </row>
    <row r="64" spans="1:19" x14ac:dyDescent="0.35">
      <c r="O64" s="22"/>
      <c r="P64" s="22"/>
    </row>
    <row r="65" spans="3:4" x14ac:dyDescent="0.35">
      <c r="C65" s="54"/>
    </row>
    <row r="66" spans="3:4" x14ac:dyDescent="0.35">
      <c r="C66" s="54"/>
    </row>
    <row r="67" spans="3:4" x14ac:dyDescent="0.35">
      <c r="C67" s="54"/>
      <c r="D67" s="54"/>
    </row>
    <row r="68" spans="3:4" x14ac:dyDescent="0.35">
      <c r="C68" s="54"/>
    </row>
    <row r="69" spans="3:4" x14ac:dyDescent="0.35">
      <c r="C69" s="54"/>
    </row>
    <row r="70" spans="3:4" x14ac:dyDescent="0.35">
      <c r="C70" s="54"/>
    </row>
    <row r="71" spans="3:4" x14ac:dyDescent="0.35">
      <c r="C71" s="54"/>
      <c r="D71" s="54"/>
    </row>
    <row r="72" spans="3:4" x14ac:dyDescent="0.35">
      <c r="C72" s="54"/>
      <c r="D72" s="54"/>
    </row>
    <row r="73" spans="3:4" x14ac:dyDescent="0.35">
      <c r="C73" s="54"/>
      <c r="D73" s="54"/>
    </row>
    <row r="74" spans="3:4" x14ac:dyDescent="0.35">
      <c r="C74" s="54"/>
      <c r="D74" s="54"/>
    </row>
    <row r="75" spans="3:4" x14ac:dyDescent="0.35">
      <c r="C75" s="54"/>
      <c r="D75" s="54"/>
    </row>
    <row r="76" spans="3:4" x14ac:dyDescent="0.35">
      <c r="C76" s="54"/>
      <c r="D76" s="54"/>
    </row>
    <row r="77" spans="3:4" x14ac:dyDescent="0.35">
      <c r="C77" s="54"/>
      <c r="D77" s="54"/>
    </row>
    <row r="78" spans="3:4" x14ac:dyDescent="0.35">
      <c r="C78" s="54"/>
      <c r="D78" s="54"/>
    </row>
    <row r="79" spans="3:4" x14ac:dyDescent="0.35">
      <c r="C79" s="54"/>
      <c r="D79" s="54"/>
    </row>
    <row r="80" spans="3:4" x14ac:dyDescent="0.35">
      <c r="C80" s="54"/>
      <c r="D80" s="54"/>
    </row>
    <row r="81" spans="3:4" x14ac:dyDescent="0.35">
      <c r="C81" s="54"/>
      <c r="D81" s="54"/>
    </row>
    <row r="82" spans="3:4" x14ac:dyDescent="0.35">
      <c r="C82" s="54"/>
      <c r="D82" s="54"/>
    </row>
    <row r="83" spans="3:4" x14ac:dyDescent="0.35">
      <c r="C83" s="54"/>
      <c r="D83" s="54"/>
    </row>
    <row r="84" spans="3:4" x14ac:dyDescent="0.35">
      <c r="C84" s="54"/>
      <c r="D84" s="54"/>
    </row>
    <row r="85" spans="3:4" x14ac:dyDescent="0.35">
      <c r="C85" s="54"/>
      <c r="D85" s="54"/>
    </row>
    <row r="86" spans="3:4" x14ac:dyDescent="0.35">
      <c r="C86" s="54"/>
      <c r="D86" s="54"/>
    </row>
    <row r="87" spans="3:4" x14ac:dyDescent="0.35">
      <c r="C87" s="54"/>
      <c r="D87" s="54"/>
    </row>
    <row r="88" spans="3:4" x14ac:dyDescent="0.35">
      <c r="C88" s="54"/>
      <c r="D88" s="54"/>
    </row>
    <row r="89" spans="3:4" x14ac:dyDescent="0.35">
      <c r="C89" s="54"/>
      <c r="D89" s="54"/>
    </row>
    <row r="90" spans="3:4" x14ac:dyDescent="0.35">
      <c r="C90" s="54"/>
      <c r="D90" s="54"/>
    </row>
    <row r="91" spans="3:4" x14ac:dyDescent="0.35">
      <c r="C91" s="54"/>
      <c r="D91" s="54"/>
    </row>
    <row r="92" spans="3:4" x14ac:dyDescent="0.35">
      <c r="C92" s="54"/>
      <c r="D92" s="54"/>
    </row>
    <row r="93" spans="3:4" x14ac:dyDescent="0.35">
      <c r="C93" s="54"/>
      <c r="D93" s="54"/>
    </row>
    <row r="94" spans="3:4" x14ac:dyDescent="0.35">
      <c r="C94" s="54"/>
      <c r="D94" s="54"/>
    </row>
    <row r="95" spans="3:4" x14ac:dyDescent="0.35">
      <c r="C95" s="54"/>
      <c r="D95" s="54"/>
    </row>
    <row r="96" spans="3:4" x14ac:dyDescent="0.35">
      <c r="C96" s="54"/>
      <c r="D96" s="54"/>
    </row>
    <row r="97" spans="3:4" x14ac:dyDescent="0.35">
      <c r="C97" s="54"/>
      <c r="D97" s="54"/>
    </row>
    <row r="98" spans="3:4" x14ac:dyDescent="0.35">
      <c r="C98" s="54"/>
      <c r="D98" s="54"/>
    </row>
    <row r="99" spans="3:4" x14ac:dyDescent="0.35">
      <c r="C99" s="54"/>
      <c r="D99" s="54"/>
    </row>
    <row r="100" spans="3:4" x14ac:dyDescent="0.35">
      <c r="C100" s="54"/>
      <c r="D100" s="54"/>
    </row>
    <row r="101" spans="3:4" x14ac:dyDescent="0.35">
      <c r="C101" s="54"/>
      <c r="D101" s="54"/>
    </row>
    <row r="102" spans="3:4" x14ac:dyDescent="0.35">
      <c r="C102" s="54"/>
      <c r="D102" s="54"/>
    </row>
    <row r="103" spans="3:4" x14ac:dyDescent="0.35">
      <c r="C103" s="54"/>
      <c r="D103" s="54"/>
    </row>
    <row r="104" spans="3:4" x14ac:dyDescent="0.35">
      <c r="C104" s="54"/>
      <c r="D104" s="54"/>
    </row>
    <row r="105" spans="3:4" x14ac:dyDescent="0.35">
      <c r="C105" s="54"/>
      <c r="D105" s="54"/>
    </row>
    <row r="106" spans="3:4" x14ac:dyDescent="0.35">
      <c r="C106" s="54"/>
      <c r="D106" s="54"/>
    </row>
    <row r="107" spans="3:4" x14ac:dyDescent="0.35">
      <c r="C107" s="54"/>
      <c r="D107" s="54"/>
    </row>
    <row r="108" spans="3:4" x14ac:dyDescent="0.35">
      <c r="C108" s="54"/>
    </row>
    <row r="109" spans="3:4" x14ac:dyDescent="0.35">
      <c r="C109" s="54"/>
    </row>
    <row r="110" spans="3:4" x14ac:dyDescent="0.35">
      <c r="C110" s="54"/>
    </row>
    <row r="111" spans="3:4" x14ac:dyDescent="0.35">
      <c r="C111" s="54"/>
    </row>
    <row r="112" spans="3:4" x14ac:dyDescent="0.35">
      <c r="C112" s="54"/>
    </row>
    <row r="113" spans="3:3" x14ac:dyDescent="0.35">
      <c r="C113" s="54"/>
    </row>
    <row r="114" spans="3:3" x14ac:dyDescent="0.35">
      <c r="C114" s="54"/>
    </row>
    <row r="115" spans="3:3" x14ac:dyDescent="0.35">
      <c r="C115" s="54"/>
    </row>
    <row r="116" spans="3:3" x14ac:dyDescent="0.35">
      <c r="C116" s="54"/>
    </row>
    <row r="117" spans="3:3" x14ac:dyDescent="0.35">
      <c r="C117" s="54"/>
    </row>
    <row r="118" spans="3:3" x14ac:dyDescent="0.35">
      <c r="C118" s="54"/>
    </row>
    <row r="119" spans="3:3" x14ac:dyDescent="0.35">
      <c r="C119" s="54"/>
    </row>
    <row r="120" spans="3:3" x14ac:dyDescent="0.35">
      <c r="C120" s="54"/>
    </row>
    <row r="121" spans="3:3" x14ac:dyDescent="0.35">
      <c r="C121" s="54"/>
    </row>
    <row r="122" spans="3:3" x14ac:dyDescent="0.35">
      <c r="C122" s="54"/>
    </row>
  </sheetData>
  <conditionalFormatting sqref="D35:D37 D39:D42">
    <cfRule type="cellIs" dxfId="11" priority="5" operator="greaterThan">
      <formula>$E$35</formula>
    </cfRule>
  </conditionalFormatting>
  <conditionalFormatting sqref="D34">
    <cfRule type="cellIs" dxfId="10" priority="1" operator="greaterThan">
      <formula>$E$34</formula>
    </cfRule>
    <cfRule type="cellIs" dxfId="9" priority="2" operator="lessThan">
      <formula>$E$34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D2E2-FF1A-4BB9-A01E-B2195D3FEF92}">
  <dimension ref="A1:L75"/>
  <sheetViews>
    <sheetView tabSelected="1" workbookViewId="0">
      <selection activeCell="A74" sqref="A74"/>
    </sheetView>
  </sheetViews>
  <sheetFormatPr defaultRowHeight="14.5" x14ac:dyDescent="0.35"/>
  <cols>
    <col min="1" max="1" width="27.90625" bestFit="1" customWidth="1"/>
    <col min="2" max="2" width="29.54296875" bestFit="1" customWidth="1"/>
    <col min="3" max="3" width="21.36328125" bestFit="1" customWidth="1"/>
    <col min="4" max="4" width="11.7265625" bestFit="1" customWidth="1"/>
    <col min="7" max="7" width="67.1796875" bestFit="1" customWidth="1"/>
    <col min="8" max="8" width="16.1796875" customWidth="1"/>
    <col min="9" max="9" width="25.7265625" bestFit="1" customWidth="1"/>
    <col min="10" max="11" width="11.7265625" bestFit="1" customWidth="1"/>
  </cols>
  <sheetData>
    <row r="1" spans="1:11" x14ac:dyDescent="0.35">
      <c r="B1" t="s">
        <v>200</v>
      </c>
    </row>
    <row r="2" spans="1:11" x14ac:dyDescent="0.35">
      <c r="B2" t="s">
        <v>17</v>
      </c>
      <c r="C2" t="s">
        <v>201</v>
      </c>
      <c r="D2" t="s">
        <v>202</v>
      </c>
      <c r="I2" t="s">
        <v>200</v>
      </c>
    </row>
    <row r="3" spans="1:11" x14ac:dyDescent="0.35">
      <c r="B3" t="s">
        <v>203</v>
      </c>
      <c r="C3" s="32">
        <v>504209</v>
      </c>
      <c r="D3" s="32">
        <v>657620</v>
      </c>
      <c r="G3" s="32"/>
      <c r="I3" t="s">
        <v>17</v>
      </c>
      <c r="J3" t="s">
        <v>201</v>
      </c>
      <c r="K3" t="s">
        <v>202</v>
      </c>
    </row>
    <row r="4" spans="1:11" x14ac:dyDescent="0.35">
      <c r="B4" t="s">
        <v>204</v>
      </c>
      <c r="C4" s="32">
        <v>13876</v>
      </c>
      <c r="D4" s="32">
        <v>29392</v>
      </c>
      <c r="I4" t="s">
        <v>203</v>
      </c>
      <c r="J4" s="32">
        <v>504209</v>
      </c>
      <c r="K4" s="32">
        <v>657620</v>
      </c>
    </row>
    <row r="5" spans="1:11" x14ac:dyDescent="0.35">
      <c r="B5" t="s">
        <v>205</v>
      </c>
      <c r="C5" s="32">
        <v>9252</v>
      </c>
      <c r="D5" s="32">
        <v>24768</v>
      </c>
      <c r="I5" t="s">
        <v>204</v>
      </c>
      <c r="J5" s="32">
        <v>13876</v>
      </c>
      <c r="K5" s="32">
        <v>29392</v>
      </c>
    </row>
    <row r="6" spans="1:11" x14ac:dyDescent="0.35">
      <c r="I6" t="s">
        <v>205</v>
      </c>
      <c r="J6" s="32">
        <v>9252</v>
      </c>
      <c r="K6" s="32">
        <v>24768</v>
      </c>
    </row>
    <row r="7" spans="1:11" x14ac:dyDescent="0.35">
      <c r="B7" t="s">
        <v>206</v>
      </c>
      <c r="C7" t="s">
        <v>189</v>
      </c>
    </row>
    <row r="8" spans="1:11" x14ac:dyDescent="0.35">
      <c r="A8" t="s">
        <v>226</v>
      </c>
      <c r="B8" t="s">
        <v>207</v>
      </c>
      <c r="C8">
        <v>605221</v>
      </c>
      <c r="I8" t="s">
        <v>206</v>
      </c>
      <c r="J8" t="s">
        <v>189</v>
      </c>
    </row>
    <row r="9" spans="1:11" x14ac:dyDescent="0.35">
      <c r="A9" t="s">
        <v>226</v>
      </c>
      <c r="B9" t="s">
        <v>221</v>
      </c>
      <c r="C9" t="s">
        <v>222</v>
      </c>
      <c r="H9" t="s">
        <v>226</v>
      </c>
      <c r="I9" t="s">
        <v>207</v>
      </c>
      <c r="J9">
        <v>605221</v>
      </c>
    </row>
    <row r="10" spans="1:11" x14ac:dyDescent="0.35">
      <c r="A10" t="s">
        <v>226</v>
      </c>
      <c r="B10" t="s">
        <v>208</v>
      </c>
      <c r="C10">
        <v>21600</v>
      </c>
      <c r="H10" t="s">
        <v>226</v>
      </c>
      <c r="I10" t="s">
        <v>221</v>
      </c>
      <c r="J10" t="s">
        <v>222</v>
      </c>
    </row>
    <row r="11" spans="1:11" x14ac:dyDescent="0.35">
      <c r="A11" t="s">
        <v>226</v>
      </c>
      <c r="B11" t="s">
        <v>209</v>
      </c>
      <c r="C11">
        <v>48414</v>
      </c>
      <c r="H11" t="s">
        <v>226</v>
      </c>
      <c r="I11" t="s">
        <v>208</v>
      </c>
      <c r="J11">
        <v>21600</v>
      </c>
    </row>
    <row r="12" spans="1:11" x14ac:dyDescent="0.35">
      <c r="A12" t="s">
        <v>226</v>
      </c>
      <c r="B12" t="s">
        <v>210</v>
      </c>
      <c r="C12">
        <v>30998</v>
      </c>
      <c r="D12" s="44">
        <f>2999.85*12</f>
        <v>35998.199999999997</v>
      </c>
      <c r="H12" t="s">
        <v>226</v>
      </c>
      <c r="I12" t="s">
        <v>209</v>
      </c>
      <c r="J12">
        <v>48414</v>
      </c>
    </row>
    <row r="13" spans="1:11" x14ac:dyDescent="0.35">
      <c r="A13" s="44" t="s">
        <v>227</v>
      </c>
      <c r="B13" s="44" t="s">
        <v>223</v>
      </c>
      <c r="C13" s="44"/>
      <c r="H13" t="s">
        <v>226</v>
      </c>
      <c r="I13" t="s">
        <v>210</v>
      </c>
      <c r="J13">
        <v>30998</v>
      </c>
      <c r="K13" s="44">
        <f>2999.85*12</f>
        <v>35998.199999999997</v>
      </c>
    </row>
    <row r="14" spans="1:11" x14ac:dyDescent="0.35">
      <c r="A14" s="44" t="s">
        <v>227</v>
      </c>
      <c r="B14" s="44" t="s">
        <v>224</v>
      </c>
      <c r="C14" s="44">
        <f>8*3000</f>
        <v>24000</v>
      </c>
      <c r="H14" s="44" t="s">
        <v>227</v>
      </c>
      <c r="I14" s="44" t="s">
        <v>223</v>
      </c>
      <c r="J14" s="44"/>
    </row>
    <row r="15" spans="1:11" x14ac:dyDescent="0.35">
      <c r="A15" s="44" t="s">
        <v>227</v>
      </c>
      <c r="B15" s="44" t="s">
        <v>225</v>
      </c>
      <c r="C15" s="44">
        <v>8000</v>
      </c>
      <c r="H15" s="44" t="s">
        <v>227</v>
      </c>
      <c r="I15" s="44" t="s">
        <v>224</v>
      </c>
      <c r="J15" s="44">
        <f>8*3000</f>
        <v>24000</v>
      </c>
    </row>
    <row r="16" spans="1:11" x14ac:dyDescent="0.35">
      <c r="A16" t="s">
        <v>226</v>
      </c>
      <c r="B16" t="s">
        <v>211</v>
      </c>
      <c r="C16">
        <v>504210</v>
      </c>
      <c r="D16">
        <f>C17-12500</f>
        <v>842</v>
      </c>
      <c r="H16" s="44" t="s">
        <v>227</v>
      </c>
      <c r="I16" s="44" t="s">
        <v>225</v>
      </c>
      <c r="J16" s="44">
        <v>8000</v>
      </c>
    </row>
    <row r="17" spans="1:11" x14ac:dyDescent="0.35">
      <c r="A17" t="s">
        <v>226</v>
      </c>
      <c r="B17" t="s">
        <v>212</v>
      </c>
      <c r="C17">
        <v>13342</v>
      </c>
      <c r="H17" t="s">
        <v>226</v>
      </c>
      <c r="I17" t="s">
        <v>211</v>
      </c>
      <c r="J17">
        <v>504210</v>
      </c>
      <c r="K17">
        <f>J18-12500</f>
        <v>842</v>
      </c>
    </row>
    <row r="18" spans="1:11" x14ac:dyDescent="0.35">
      <c r="A18" t="s">
        <v>226</v>
      </c>
      <c r="B18" t="s">
        <v>213</v>
      </c>
      <c r="C18">
        <v>0</v>
      </c>
      <c r="H18" t="s">
        <v>226</v>
      </c>
      <c r="I18" t="s">
        <v>212</v>
      </c>
      <c r="J18">
        <v>13342</v>
      </c>
    </row>
    <row r="19" spans="1:11" x14ac:dyDescent="0.35">
      <c r="A19" t="s">
        <v>226</v>
      </c>
      <c r="B19" t="s">
        <v>214</v>
      </c>
      <c r="C19">
        <v>0</v>
      </c>
      <c r="H19" t="s">
        <v>226</v>
      </c>
      <c r="I19" t="s">
        <v>213</v>
      </c>
      <c r="J19">
        <v>0</v>
      </c>
    </row>
    <row r="20" spans="1:11" x14ac:dyDescent="0.35">
      <c r="A20" t="s">
        <v>226</v>
      </c>
      <c r="B20" t="s">
        <v>215</v>
      </c>
      <c r="C20">
        <v>534</v>
      </c>
      <c r="H20" t="s">
        <v>226</v>
      </c>
      <c r="I20" t="s">
        <v>214</v>
      </c>
      <c r="J20">
        <v>0</v>
      </c>
    </row>
    <row r="21" spans="1:11" x14ac:dyDescent="0.35">
      <c r="A21" t="s">
        <v>226</v>
      </c>
      <c r="B21" t="s">
        <v>216</v>
      </c>
      <c r="C21">
        <v>0</v>
      </c>
      <c r="H21" t="s">
        <v>226</v>
      </c>
      <c r="I21" t="s">
        <v>215</v>
      </c>
      <c r="J21">
        <v>534</v>
      </c>
    </row>
    <row r="22" spans="1:11" x14ac:dyDescent="0.35">
      <c r="A22" t="s">
        <v>226</v>
      </c>
      <c r="B22" t="s">
        <v>217</v>
      </c>
      <c r="C22">
        <v>13876</v>
      </c>
      <c r="H22" t="s">
        <v>226</v>
      </c>
      <c r="I22" t="s">
        <v>216</v>
      </c>
      <c r="J22">
        <v>0</v>
      </c>
    </row>
    <row r="23" spans="1:11" x14ac:dyDescent="0.35">
      <c r="B23" t="s">
        <v>218</v>
      </c>
      <c r="C23">
        <v>4624</v>
      </c>
      <c r="H23" t="s">
        <v>226</v>
      </c>
      <c r="I23" t="s">
        <v>217</v>
      </c>
      <c r="J23">
        <v>13876</v>
      </c>
    </row>
    <row r="24" spans="1:11" x14ac:dyDescent="0.35">
      <c r="B24" t="s">
        <v>219</v>
      </c>
      <c r="C24">
        <v>9252</v>
      </c>
      <c r="I24" t="s">
        <v>218</v>
      </c>
      <c r="J24">
        <v>4624</v>
      </c>
    </row>
    <row r="25" spans="1:11" x14ac:dyDescent="0.35">
      <c r="B25" t="s">
        <v>220</v>
      </c>
      <c r="C25">
        <v>1156</v>
      </c>
      <c r="I25" t="s">
        <v>219</v>
      </c>
      <c r="J25">
        <v>9252</v>
      </c>
    </row>
    <row r="26" spans="1:11" x14ac:dyDescent="0.35">
      <c r="I26" t="s">
        <v>220</v>
      </c>
      <c r="J26">
        <v>1156</v>
      </c>
    </row>
    <row r="29" spans="1:11" x14ac:dyDescent="0.35">
      <c r="A29" t="s">
        <v>251</v>
      </c>
      <c r="B29" s="54">
        <v>24038</v>
      </c>
      <c r="C29" s="54">
        <v>288456</v>
      </c>
      <c r="I29" s="21"/>
    </row>
    <row r="30" spans="1:11" x14ac:dyDescent="0.35">
      <c r="A30" t="s">
        <v>252</v>
      </c>
      <c r="B30" s="54">
        <v>9615</v>
      </c>
      <c r="C30" s="54">
        <v>115380</v>
      </c>
      <c r="D30" s="14">
        <f>C30*100/C29</f>
        <v>39.999167984025291</v>
      </c>
      <c r="H30" s="21"/>
      <c r="I30" s="21"/>
    </row>
    <row r="31" spans="1:11" x14ac:dyDescent="0.35">
      <c r="A31" t="s">
        <v>247</v>
      </c>
      <c r="B31">
        <v>200</v>
      </c>
      <c r="C31" s="54">
        <v>2400</v>
      </c>
      <c r="D31" s="14">
        <f>C31*100/C29</f>
        <v>0.8320159747067144</v>
      </c>
      <c r="H31" s="22"/>
      <c r="I31" s="22"/>
    </row>
    <row r="32" spans="1:11" x14ac:dyDescent="0.35">
      <c r="A32" t="s">
        <v>248</v>
      </c>
      <c r="B32" s="54">
        <v>1500</v>
      </c>
      <c r="C32" s="54">
        <v>18000</v>
      </c>
      <c r="D32" s="14">
        <f>C32*100/C29</f>
        <v>6.2401198103003575</v>
      </c>
    </row>
    <row r="33" spans="1:12" x14ac:dyDescent="0.35">
      <c r="A33" t="s">
        <v>253</v>
      </c>
      <c r="B33" s="54">
        <v>3000</v>
      </c>
      <c r="C33" s="54">
        <v>36000</v>
      </c>
      <c r="D33" s="14">
        <f>C33*100/C29</f>
        <v>12.480239620600715</v>
      </c>
    </row>
    <row r="34" spans="1:12" x14ac:dyDescent="0.35">
      <c r="A34" t="s">
        <v>249</v>
      </c>
      <c r="B34" s="54">
        <v>1500</v>
      </c>
      <c r="C34" s="54">
        <v>18000</v>
      </c>
      <c r="D34" s="14">
        <f>C34*100/C29</f>
        <v>6.2401198103003575</v>
      </c>
    </row>
    <row r="35" spans="1:12" x14ac:dyDescent="0.35">
      <c r="A35" t="s">
        <v>250</v>
      </c>
      <c r="B35" s="54">
        <v>18444</v>
      </c>
      <c r="C35" s="54">
        <v>221328</v>
      </c>
      <c r="D35" s="14">
        <f>C35*100/C29</f>
        <v>76.728513187453203</v>
      </c>
    </row>
    <row r="36" spans="1:12" x14ac:dyDescent="0.35">
      <c r="A36" t="s">
        <v>254</v>
      </c>
      <c r="B36" s="54">
        <f>SUM(B30:B35)</f>
        <v>34259</v>
      </c>
      <c r="C36" s="54">
        <f>SUM(C30:C35)</f>
        <v>411108</v>
      </c>
      <c r="D36" s="14">
        <f>C36*100/C29</f>
        <v>142.52017638738664</v>
      </c>
    </row>
    <row r="39" spans="1:12" x14ac:dyDescent="0.35">
      <c r="I39" s="14"/>
    </row>
    <row r="41" spans="1:12" x14ac:dyDescent="0.35">
      <c r="A41" s="70" t="s">
        <v>323</v>
      </c>
      <c r="B41" s="70" t="s">
        <v>322</v>
      </c>
      <c r="C41" s="71" t="s">
        <v>320</v>
      </c>
      <c r="D41" s="72" t="s">
        <v>321</v>
      </c>
      <c r="E41" s="21"/>
      <c r="F41" s="21"/>
    </row>
    <row r="42" spans="1:12" x14ac:dyDescent="0.35">
      <c r="A42" s="73"/>
      <c r="B42" s="73"/>
      <c r="C42" s="82">
        <v>97000</v>
      </c>
      <c r="D42" s="81">
        <v>56200</v>
      </c>
      <c r="E42" s="21"/>
      <c r="F42" s="21"/>
      <c r="G42" s="21"/>
    </row>
    <row r="43" spans="1:12" x14ac:dyDescent="0.35">
      <c r="A43" s="73" t="s">
        <v>299</v>
      </c>
      <c r="B43" s="73">
        <v>30</v>
      </c>
      <c r="C43" s="74">
        <f>+C42*B43%</f>
        <v>29100</v>
      </c>
      <c r="D43" s="75">
        <v>19500</v>
      </c>
      <c r="E43" s="21"/>
      <c r="F43" s="21"/>
      <c r="G43" s="21"/>
      <c r="H43" s="22"/>
      <c r="I43" s="22"/>
      <c r="K43" s="22"/>
      <c r="L43" s="22"/>
    </row>
    <row r="44" spans="1:12" x14ac:dyDescent="0.35">
      <c r="A44" s="73" t="s">
        <v>300</v>
      </c>
      <c r="B44" s="73">
        <v>30</v>
      </c>
      <c r="C44" s="74">
        <f>+C42*B44%</f>
        <v>29100</v>
      </c>
      <c r="D44" s="75">
        <v>15000</v>
      </c>
      <c r="E44" s="21"/>
      <c r="F44" s="21"/>
      <c r="G44" s="21"/>
      <c r="H44" s="22"/>
      <c r="I44" s="22"/>
      <c r="K44" s="22"/>
      <c r="L44" s="22"/>
    </row>
    <row r="45" spans="1:12" x14ac:dyDescent="0.35">
      <c r="A45" s="73" t="s">
        <v>298</v>
      </c>
      <c r="B45" s="73">
        <v>30</v>
      </c>
      <c r="C45" s="74">
        <f>+C42*B45%</f>
        <v>29100</v>
      </c>
      <c r="D45" s="76">
        <v>21700</v>
      </c>
      <c r="E45" s="21"/>
      <c r="F45" s="21"/>
      <c r="I45" s="22"/>
      <c r="K45" s="22"/>
      <c r="L45" s="22"/>
    </row>
    <row r="46" spans="1:12" x14ac:dyDescent="0.35">
      <c r="A46" s="73" t="s">
        <v>297</v>
      </c>
      <c r="B46" s="73">
        <v>10</v>
      </c>
      <c r="C46" s="74">
        <f>+C42*B46%</f>
        <v>9700</v>
      </c>
      <c r="D46" s="76"/>
      <c r="E46" s="21"/>
      <c r="F46" s="21"/>
      <c r="I46" s="22"/>
      <c r="K46" s="22"/>
      <c r="L46" s="22"/>
    </row>
    <row r="47" spans="1:12" x14ac:dyDescent="0.35">
      <c r="A47" s="21"/>
      <c r="B47" s="21"/>
      <c r="C47" s="21"/>
      <c r="D47" s="21"/>
      <c r="E47" s="21"/>
      <c r="F47" s="21"/>
      <c r="I47" s="22"/>
      <c r="K47" s="22"/>
      <c r="L47" s="22"/>
    </row>
    <row r="48" spans="1:12" x14ac:dyDescent="0.35">
      <c r="A48" s="21"/>
      <c r="B48" s="21"/>
      <c r="C48" s="21"/>
      <c r="D48" s="21"/>
      <c r="E48" s="21"/>
      <c r="F48" s="21"/>
      <c r="G48" s="21"/>
      <c r="H48" s="22"/>
      <c r="I48" s="22"/>
      <c r="K48" s="22"/>
      <c r="L48" s="22"/>
    </row>
    <row r="49" spans="1:12" x14ac:dyDescent="0.35">
      <c r="A49" s="65" t="s">
        <v>301</v>
      </c>
      <c r="B49" s="21"/>
      <c r="C49" s="21"/>
      <c r="D49" s="21"/>
      <c r="E49" s="21"/>
      <c r="F49" s="21"/>
      <c r="G49" s="21"/>
      <c r="H49" s="22"/>
      <c r="I49" s="22"/>
      <c r="K49" s="22"/>
      <c r="L49" s="22"/>
    </row>
    <row r="50" spans="1:12" x14ac:dyDescent="0.35">
      <c r="A50" s="31" t="s">
        <v>17</v>
      </c>
      <c r="B50" s="31" t="s">
        <v>18</v>
      </c>
      <c r="C50" s="31" t="s">
        <v>20</v>
      </c>
      <c r="D50" s="31" t="s">
        <v>19</v>
      </c>
      <c r="E50" s="31" t="s">
        <v>52</v>
      </c>
      <c r="F50" s="31" t="s">
        <v>21</v>
      </c>
      <c r="G50" s="31" t="s">
        <v>127</v>
      </c>
      <c r="H50" s="69" t="s">
        <v>315</v>
      </c>
      <c r="K50" s="22"/>
    </row>
    <row r="51" spans="1:12" x14ac:dyDescent="0.35">
      <c r="A51" s="33" t="s">
        <v>0</v>
      </c>
      <c r="B51" s="40" t="s">
        <v>308</v>
      </c>
      <c r="C51" s="12">
        <v>6000</v>
      </c>
      <c r="D51" s="12" t="s">
        <v>4</v>
      </c>
      <c r="E51" s="12" t="s">
        <v>53</v>
      </c>
      <c r="F51" s="12" t="s">
        <v>137</v>
      </c>
      <c r="H51" s="11" t="s">
        <v>144</v>
      </c>
    </row>
    <row r="52" spans="1:12" x14ac:dyDescent="0.35">
      <c r="A52" s="33" t="s">
        <v>0</v>
      </c>
      <c r="B52" s="40" t="s">
        <v>304</v>
      </c>
      <c r="C52" s="12">
        <v>3000</v>
      </c>
      <c r="D52" s="12" t="s">
        <v>4</v>
      </c>
      <c r="E52" s="12" t="s">
        <v>53</v>
      </c>
      <c r="F52" s="12" t="s">
        <v>137</v>
      </c>
      <c r="H52" s="11" t="s">
        <v>186</v>
      </c>
    </row>
    <row r="53" spans="1:12" x14ac:dyDescent="0.35">
      <c r="A53" s="33" t="s">
        <v>0</v>
      </c>
      <c r="B53" s="34" t="s">
        <v>303</v>
      </c>
      <c r="C53">
        <v>3000</v>
      </c>
      <c r="D53" t="s">
        <v>4</v>
      </c>
      <c r="E53" t="s">
        <v>53</v>
      </c>
      <c r="F53" t="s">
        <v>137</v>
      </c>
      <c r="G53" t="s">
        <v>302</v>
      </c>
      <c r="H53" s="11" t="s">
        <v>310</v>
      </c>
    </row>
    <row r="54" spans="1:12" x14ac:dyDescent="0.35">
      <c r="A54" s="33" t="s">
        <v>0</v>
      </c>
      <c r="B54" s="34" t="s">
        <v>2</v>
      </c>
      <c r="C54">
        <v>1000</v>
      </c>
      <c r="D54" t="s">
        <v>4</v>
      </c>
      <c r="E54" t="s">
        <v>53</v>
      </c>
      <c r="F54" t="s">
        <v>137</v>
      </c>
      <c r="H54" s="11" t="s">
        <v>311</v>
      </c>
      <c r="J54" s="22"/>
    </row>
    <row r="55" spans="1:12" x14ac:dyDescent="0.35">
      <c r="A55" s="33" t="s">
        <v>0</v>
      </c>
      <c r="B55" s="34" t="s">
        <v>3</v>
      </c>
      <c r="C55">
        <v>2500</v>
      </c>
      <c r="D55" t="s">
        <v>5</v>
      </c>
      <c r="E55" t="s">
        <v>53</v>
      </c>
      <c r="F55" t="s">
        <v>137</v>
      </c>
      <c r="G55" t="s">
        <v>126</v>
      </c>
    </row>
    <row r="56" spans="1:12" x14ac:dyDescent="0.35">
      <c r="A56" s="33" t="s">
        <v>0</v>
      </c>
      <c r="B56" s="34" t="s">
        <v>6</v>
      </c>
      <c r="C56">
        <v>1500</v>
      </c>
      <c r="D56" t="s">
        <v>5</v>
      </c>
      <c r="E56" t="s">
        <v>53</v>
      </c>
      <c r="F56" t="s">
        <v>137</v>
      </c>
      <c r="G56" t="s">
        <v>126</v>
      </c>
    </row>
    <row r="57" spans="1:12" x14ac:dyDescent="0.35">
      <c r="A57" s="33" t="s">
        <v>0</v>
      </c>
      <c r="B57" s="34" t="s">
        <v>306</v>
      </c>
      <c r="C57">
        <v>500</v>
      </c>
      <c r="D57" t="s">
        <v>5</v>
      </c>
      <c r="E57" t="s">
        <v>54</v>
      </c>
      <c r="F57" t="s">
        <v>137</v>
      </c>
      <c r="G57" t="s">
        <v>126</v>
      </c>
    </row>
    <row r="58" spans="1:12" x14ac:dyDescent="0.35">
      <c r="A58" s="33" t="s">
        <v>0</v>
      </c>
      <c r="B58" s="34" t="s">
        <v>307</v>
      </c>
      <c r="C58">
        <v>1000</v>
      </c>
      <c r="D58" t="s">
        <v>5</v>
      </c>
      <c r="E58" t="s">
        <v>54</v>
      </c>
      <c r="F58" t="s">
        <v>137</v>
      </c>
      <c r="G58" t="s">
        <v>126</v>
      </c>
    </row>
    <row r="59" spans="1:12" x14ac:dyDescent="0.35">
      <c r="A59" s="33" t="s">
        <v>0</v>
      </c>
      <c r="B59" s="41" t="s">
        <v>305</v>
      </c>
      <c r="C59" s="11">
        <v>4500</v>
      </c>
      <c r="D59" s="11" t="s">
        <v>27</v>
      </c>
      <c r="E59" s="11" t="s">
        <v>54</v>
      </c>
      <c r="F59" t="s">
        <v>137</v>
      </c>
    </row>
    <row r="60" spans="1:12" x14ac:dyDescent="0.35">
      <c r="A60" s="33" t="s">
        <v>0</v>
      </c>
      <c r="B60" s="41" t="s">
        <v>305</v>
      </c>
      <c r="C60" s="11">
        <v>4500</v>
      </c>
      <c r="D60" s="11" t="s">
        <v>5</v>
      </c>
      <c r="E60" s="11" t="s">
        <v>54</v>
      </c>
      <c r="F60" t="s">
        <v>137</v>
      </c>
    </row>
    <row r="61" spans="1:12" x14ac:dyDescent="0.35">
      <c r="A61" s="33" t="s">
        <v>0</v>
      </c>
      <c r="B61" s="34" t="s">
        <v>8</v>
      </c>
      <c r="C61">
        <v>1200</v>
      </c>
      <c r="D61" t="s">
        <v>14</v>
      </c>
      <c r="E61" t="s">
        <v>53</v>
      </c>
      <c r="F61" t="s">
        <v>137</v>
      </c>
      <c r="G61" t="s">
        <v>144</v>
      </c>
    </row>
    <row r="62" spans="1:12" x14ac:dyDescent="0.35">
      <c r="A62" s="38" t="s">
        <v>9</v>
      </c>
      <c r="B62" s="66" t="s">
        <v>187</v>
      </c>
      <c r="C62">
        <v>2001</v>
      </c>
      <c r="D62" t="s">
        <v>14</v>
      </c>
      <c r="E62" t="s">
        <v>53</v>
      </c>
      <c r="F62" t="s">
        <v>15</v>
      </c>
      <c r="G62" s="6" t="s">
        <v>327</v>
      </c>
    </row>
    <row r="63" spans="1:12" x14ac:dyDescent="0.35">
      <c r="A63" s="35" t="s">
        <v>9</v>
      </c>
      <c r="B63" s="67" t="s">
        <v>11</v>
      </c>
      <c r="C63">
        <v>2500</v>
      </c>
      <c r="D63" t="s">
        <v>5</v>
      </c>
      <c r="E63" t="s">
        <v>54</v>
      </c>
      <c r="F63" t="s">
        <v>137</v>
      </c>
      <c r="G63" t="s">
        <v>125</v>
      </c>
    </row>
    <row r="64" spans="1:12" x14ac:dyDescent="0.35">
      <c r="A64" s="35" t="s">
        <v>9</v>
      </c>
      <c r="B64" s="37" t="s">
        <v>12</v>
      </c>
      <c r="C64">
        <v>11000</v>
      </c>
      <c r="D64" t="s">
        <v>5</v>
      </c>
      <c r="E64" t="s">
        <v>53</v>
      </c>
      <c r="F64" t="s">
        <v>15</v>
      </c>
    </row>
    <row r="65" spans="1:7" x14ac:dyDescent="0.35">
      <c r="A65" s="77" t="s">
        <v>48</v>
      </c>
      <c r="B65" s="3" t="s">
        <v>314</v>
      </c>
      <c r="C65">
        <v>3300</v>
      </c>
      <c r="D65" t="s">
        <v>14</v>
      </c>
      <c r="E65" t="s">
        <v>53</v>
      </c>
      <c r="F65" t="s">
        <v>16</v>
      </c>
      <c r="G65" t="s">
        <v>138</v>
      </c>
    </row>
    <row r="66" spans="1:7" x14ac:dyDescent="0.35">
      <c r="A66" s="78" t="s">
        <v>22</v>
      </c>
      <c r="B66" s="3" t="s">
        <v>23</v>
      </c>
      <c r="C66">
        <v>2000</v>
      </c>
      <c r="D66" t="s">
        <v>27</v>
      </c>
      <c r="E66" t="s">
        <v>53</v>
      </c>
      <c r="F66" t="s">
        <v>16</v>
      </c>
    </row>
    <row r="67" spans="1:7" x14ac:dyDescent="0.35">
      <c r="A67" s="78" t="s">
        <v>22</v>
      </c>
      <c r="B67" s="3" t="s">
        <v>309</v>
      </c>
      <c r="C67">
        <v>3500</v>
      </c>
      <c r="D67" t="s">
        <v>27</v>
      </c>
      <c r="E67" t="s">
        <v>53</v>
      </c>
      <c r="F67" t="s">
        <v>16</v>
      </c>
    </row>
    <row r="68" spans="1:7" x14ac:dyDescent="0.35">
      <c r="A68" s="79" t="s">
        <v>51</v>
      </c>
      <c r="B68" s="3" t="s">
        <v>185</v>
      </c>
      <c r="C68">
        <v>3000</v>
      </c>
      <c r="D68" t="s">
        <v>14</v>
      </c>
      <c r="E68" t="s">
        <v>53</v>
      </c>
      <c r="F68" t="s">
        <v>16</v>
      </c>
      <c r="G68" s="63" t="s">
        <v>319</v>
      </c>
    </row>
    <row r="69" spans="1:7" x14ac:dyDescent="0.35">
      <c r="A69" s="80" t="s">
        <v>49</v>
      </c>
      <c r="B69" s="13" t="s">
        <v>2</v>
      </c>
      <c r="C69" s="12">
        <v>500</v>
      </c>
      <c r="D69" s="12" t="s">
        <v>14</v>
      </c>
      <c r="E69" s="12" t="s">
        <v>54</v>
      </c>
      <c r="F69" s="12" t="s">
        <v>16</v>
      </c>
    </row>
    <row r="70" spans="1:7" x14ac:dyDescent="0.35">
      <c r="A70" s="79" t="s">
        <v>49</v>
      </c>
      <c r="B70" s="3" t="s">
        <v>140</v>
      </c>
      <c r="C70">
        <v>3001</v>
      </c>
      <c r="D70" t="s">
        <v>14</v>
      </c>
      <c r="E70" t="s">
        <v>53</v>
      </c>
      <c r="F70" t="s">
        <v>16</v>
      </c>
      <c r="G70" t="s">
        <v>324</v>
      </c>
    </row>
    <row r="71" spans="1:7" x14ac:dyDescent="0.35">
      <c r="A71" s="80" t="s">
        <v>49</v>
      </c>
      <c r="B71" s="13" t="s">
        <v>312</v>
      </c>
      <c r="C71" s="12">
        <v>2501</v>
      </c>
      <c r="D71" s="12" t="s">
        <v>14</v>
      </c>
      <c r="E71" s="12" t="s">
        <v>53</v>
      </c>
      <c r="F71" s="12" t="s">
        <v>16</v>
      </c>
      <c r="G71" s="12" t="s">
        <v>326</v>
      </c>
    </row>
    <row r="72" spans="1:7" x14ac:dyDescent="0.35">
      <c r="A72" s="80" t="s">
        <v>49</v>
      </c>
      <c r="B72" s="13" t="s">
        <v>312</v>
      </c>
      <c r="C72" s="12">
        <v>2501</v>
      </c>
      <c r="D72" s="12" t="s">
        <v>14</v>
      </c>
      <c r="E72" s="12" t="s">
        <v>53</v>
      </c>
      <c r="F72" s="12" t="s">
        <v>16</v>
      </c>
      <c r="G72" s="12" t="s">
        <v>325</v>
      </c>
    </row>
    <row r="73" spans="1:7" x14ac:dyDescent="0.35">
      <c r="A73" s="79" t="s">
        <v>24</v>
      </c>
      <c r="B73" s="3" t="s">
        <v>313</v>
      </c>
      <c r="C73">
        <v>800</v>
      </c>
      <c r="D73" t="s">
        <v>14</v>
      </c>
      <c r="E73" t="s">
        <v>53</v>
      </c>
      <c r="F73" t="s">
        <v>16</v>
      </c>
      <c r="G73" t="s">
        <v>144</v>
      </c>
    </row>
    <row r="74" spans="1:7" x14ac:dyDescent="0.35">
      <c r="A74" s="80" t="s">
        <v>329</v>
      </c>
      <c r="B74" s="3" t="s">
        <v>328</v>
      </c>
      <c r="C74" s="12">
        <v>1100</v>
      </c>
      <c r="E74" t="s">
        <v>53</v>
      </c>
      <c r="F74" t="s">
        <v>16</v>
      </c>
      <c r="G74" t="s">
        <v>144</v>
      </c>
    </row>
    <row r="75" spans="1:7" x14ac:dyDescent="0.35">
      <c r="A75" s="79" t="s">
        <v>316</v>
      </c>
      <c r="B75" s="3" t="s">
        <v>317</v>
      </c>
      <c r="C75">
        <v>30000</v>
      </c>
      <c r="F75" t="s">
        <v>16</v>
      </c>
      <c r="G75" s="63" t="s">
        <v>318</v>
      </c>
    </row>
  </sheetData>
  <mergeCells count="1">
    <mergeCell ref="D45:D46"/>
  </mergeCells>
  <conditionalFormatting sqref="F50:F58 H54 G68 G50:H50 F60:F70 F72:F75">
    <cfRule type="containsText" dxfId="8" priority="11" operator="containsText" text="INVEST">
      <formula>NOT(ISERROR(SEARCH("INVEST",F50)))</formula>
    </cfRule>
  </conditionalFormatting>
  <conditionalFormatting sqref="F50:F58 H54 G68 F60:F70 F72:F75">
    <cfRule type="containsText" dxfId="7" priority="12" operator="containsText" text="Debt">
      <formula>NOT(ISERROR(SEARCH("Debt",F50)))</formula>
    </cfRule>
  </conditionalFormatting>
  <conditionalFormatting sqref="F51:F58 H54 G68 F60:F70 F72:F75">
    <cfRule type="cellIs" dxfId="6" priority="10" operator="equal">
      <formula>"W/N"</formula>
    </cfRule>
  </conditionalFormatting>
  <conditionalFormatting sqref="F59">
    <cfRule type="containsText" dxfId="5" priority="8" operator="containsText" text="INVEST">
      <formula>NOT(ISERROR(SEARCH("INVEST",F59)))</formula>
    </cfRule>
  </conditionalFormatting>
  <conditionalFormatting sqref="F59">
    <cfRule type="containsText" dxfId="4" priority="9" operator="containsText" text="Debt">
      <formula>NOT(ISERROR(SEARCH("Debt",F59)))</formula>
    </cfRule>
  </conditionalFormatting>
  <conditionalFormatting sqref="F59">
    <cfRule type="cellIs" dxfId="3" priority="7" operator="equal">
      <formula>"W/N"</formula>
    </cfRule>
  </conditionalFormatting>
  <conditionalFormatting sqref="F71">
    <cfRule type="containsText" dxfId="2" priority="2" operator="containsText" text="INVEST">
      <formula>NOT(ISERROR(SEARCH("INVEST",F71)))</formula>
    </cfRule>
  </conditionalFormatting>
  <conditionalFormatting sqref="F71">
    <cfRule type="containsText" dxfId="1" priority="3" operator="containsText" text="Debt">
      <formula>NOT(ISERROR(SEARCH("Debt",F71)))</formula>
    </cfRule>
  </conditionalFormatting>
  <conditionalFormatting sqref="F71">
    <cfRule type="cellIs" dxfId="0" priority="1" operator="equal">
      <formula>"W/N"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 Expense</vt:lpstr>
      <vt:lpstr>Maa</vt:lpstr>
      <vt:lpstr>Cutoff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Chakitan Vyas</dc:creator>
  <cp:lastModifiedBy>Chakitan Vyas</cp:lastModifiedBy>
  <cp:lastPrinted>2021-10-27T09:22:41Z</cp:lastPrinted>
  <dcterms:created xsi:type="dcterms:W3CDTF">2021-07-23T08:25:40Z</dcterms:created>
  <dcterms:modified xsi:type="dcterms:W3CDTF">2022-12-27T05:48:44Z</dcterms:modified>
</cp:coreProperties>
</file>