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kitan.vyas\Documents\"/>
    </mc:Choice>
  </mc:AlternateContent>
  <xr:revisionPtr revIDLastSave="0" documentId="13_ncr:1_{96663207-95EA-46A2-8AC5-D4EAC0A59E69}" xr6:coauthVersionLast="47" xr6:coauthVersionMax="47" xr10:uidLastSave="{00000000-0000-0000-0000-000000000000}"/>
  <bookViews>
    <workbookView xWindow="-110" yWindow="350" windowWidth="19420" windowHeight="10560" xr2:uid="{DB883077-17C7-4703-8A67-3C20ED6D78CF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D30" i="1"/>
  <c r="F29" i="1"/>
  <c r="D29" i="1"/>
  <c r="F28" i="1"/>
  <c r="D28" i="1"/>
  <c r="F27" i="1"/>
  <c r="D27" i="1"/>
  <c r="F26" i="1"/>
  <c r="D26" i="1"/>
  <c r="F25" i="1"/>
  <c r="D25" i="1"/>
  <c r="F24" i="1"/>
  <c r="D24" i="1"/>
  <c r="F23" i="1"/>
  <c r="D23" i="1"/>
  <c r="F22" i="1"/>
  <c r="D22" i="1"/>
  <c r="F21" i="1"/>
  <c r="D21" i="1"/>
  <c r="F20" i="1"/>
  <c r="D20" i="1"/>
  <c r="F19" i="1"/>
  <c r="D19" i="1"/>
  <c r="F18" i="1"/>
  <c r="D18" i="1"/>
  <c r="F17" i="1"/>
  <c r="D17" i="1"/>
  <c r="F16" i="1"/>
  <c r="D16" i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3" i="1"/>
  <c r="F4" i="1"/>
  <c r="F5" i="1"/>
  <c r="F6" i="1"/>
  <c r="F7" i="1"/>
  <c r="F8" i="1"/>
  <c r="F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<sst xmlns="http://schemas.openxmlformats.org/spreadsheetml/2006/main" count="100" uniqueCount="70">
  <si>
    <t>PNB</t>
  </si>
  <si>
    <t>Stock</t>
  </si>
  <si>
    <t>Invested</t>
  </si>
  <si>
    <t>Current</t>
  </si>
  <si>
    <t>ToDo</t>
  </si>
  <si>
    <t>#Shares</t>
  </si>
  <si>
    <t>Jindal Steel &amp; Power</t>
  </si>
  <si>
    <t>AKZOINDIA</t>
  </si>
  <si>
    <t>GODREJAGRO</t>
  </si>
  <si>
    <t>Hold</t>
  </si>
  <si>
    <t>IRFC</t>
  </si>
  <si>
    <t>NATIONALUM</t>
  </si>
  <si>
    <t>YESBANK</t>
  </si>
  <si>
    <t>Total Invest</t>
  </si>
  <si>
    <t>Total Current</t>
  </si>
  <si>
    <t>Aditya Birla Sun</t>
  </si>
  <si>
    <t>Indian Hotels Co</t>
  </si>
  <si>
    <t>Canara Bank</t>
  </si>
  <si>
    <t>Avenue Supermarts</t>
  </si>
  <si>
    <t>IRCTC</t>
  </si>
  <si>
    <t>Paytm</t>
  </si>
  <si>
    <t>Reliance Power</t>
  </si>
  <si>
    <t>Reliance Ind</t>
  </si>
  <si>
    <t>Tata Power</t>
  </si>
  <si>
    <t>Ashok Leyland</t>
  </si>
  <si>
    <t>Tata Motors</t>
  </si>
  <si>
    <t>Confidence Petro</t>
  </si>
  <si>
    <t>Exide Industried</t>
  </si>
  <si>
    <t>Lemon Tree Hotels</t>
  </si>
  <si>
    <t>ONGC</t>
  </si>
  <si>
    <t>Gujarat Pipavav Port</t>
  </si>
  <si>
    <t>Arvind</t>
  </si>
  <si>
    <t>SAIL</t>
  </si>
  <si>
    <t>ITC</t>
  </si>
  <si>
    <t>SBI Cards</t>
  </si>
  <si>
    <t>JPP</t>
  </si>
  <si>
    <t>Redington</t>
  </si>
  <si>
    <t>Sell</t>
  </si>
  <si>
    <t>Profit Book</t>
  </si>
  <si>
    <t>HCL</t>
  </si>
  <si>
    <t>Bata</t>
  </si>
  <si>
    <t>Hawkins</t>
  </si>
  <si>
    <t>Reliance</t>
  </si>
  <si>
    <t>Raymond</t>
  </si>
  <si>
    <t>Bombay Dyeing</t>
  </si>
  <si>
    <t>Apollo Hospitals</t>
  </si>
  <si>
    <t>My Analysis</t>
  </si>
  <si>
    <t>sell @1000</t>
  </si>
  <si>
    <t>sell @60</t>
  </si>
  <si>
    <t>sell @565</t>
  </si>
  <si>
    <t>sell @2340</t>
  </si>
  <si>
    <t>sell @720</t>
  </si>
  <si>
    <t>sell @100</t>
  </si>
  <si>
    <t>sell @380</t>
  </si>
  <si>
    <t>sell @340</t>
  </si>
  <si>
    <t>AGEs</t>
  </si>
  <si>
    <t>sell @18</t>
  </si>
  <si>
    <t>sell @260</t>
  </si>
  <si>
    <t>sell @180</t>
  </si>
  <si>
    <t>sell @550</t>
  </si>
  <si>
    <t>sell @215</t>
  </si>
  <si>
    <t>sell @105</t>
  </si>
  <si>
    <t>sell @170</t>
  </si>
  <si>
    <t>sell @120</t>
  </si>
  <si>
    <t>sell @150</t>
  </si>
  <si>
    <t>sell @130</t>
  </si>
  <si>
    <t>sell @350</t>
  </si>
  <si>
    <t>sell @1260</t>
  </si>
  <si>
    <t>sell @8</t>
  </si>
  <si>
    <t>sell @184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</si>
</sst>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CA42-779F-40F8-979B-736FCC94306E}">
  <dimension ref="A1:H37"/>
  <sheetViews>
    <sheetView tabSelected="1" topLeftCell="A18" workbookViewId="0">
      <selection activeCell="J27" sqref="J27"/>
    </sheetView>
  </sheetViews>
  <sheetFormatPr defaultRowHeight="14.5" x14ac:dyDescent="0.35"/>
  <cols>
    <col min="1" max="1" width="17.90625" bestFit="1" customWidth="1"/>
  </cols>
  <sheetData>
    <row r="1" spans="1:8" x14ac:dyDescent="0.35">
      <c r="A1" s="2" t="s">
        <v>1</v>
      </c>
      <c r="B1" s="2" t="s">
        <v>5</v>
      </c>
      <c r="C1" s="2" t="s">
        <v>2</v>
      </c>
      <c r="D1" s="2" t="s">
        <v>13</v>
      </c>
      <c r="E1" s="2" t="s">
        <v>3</v>
      </c>
      <c r="F1" s="2" t="s">
        <v>14</v>
      </c>
      <c r="G1" s="2" t="s">
        <v>4</v>
      </c>
      <c r="H1" s="2" t="s">
        <v>46</v>
      </c>
    </row>
    <row r="2" spans="1:8" x14ac:dyDescent="0.35">
      <c r="A2" s="3" t="s">
        <v>0</v>
      </c>
      <c r="B2">
        <v>9</v>
      </c>
      <c r="C2">
        <v>44.9</v>
      </c>
      <c r="D2">
        <f>C2*B2</f>
        <v>404.09999999999997</v>
      </c>
      <c r="E2">
        <v>53.15</v>
      </c>
      <c r="F2">
        <f>E2*B2</f>
        <v>478.34999999999997</v>
      </c>
      <c r="G2" t="s">
        <v>37</v>
      </c>
      <c r="H2" t="s">
        <v>48</v>
      </c>
    </row>
    <row r="3" spans="1:8" x14ac:dyDescent="0.35">
      <c r="A3" s="3" t="s">
        <v>6</v>
      </c>
      <c r="B3">
        <v>6</v>
      </c>
      <c r="C3">
        <v>493.5</v>
      </c>
      <c r="D3">
        <f t="shared" ref="D3:D30" si="0">C3*B3</f>
        <v>2961</v>
      </c>
      <c r="E3">
        <v>515.25</v>
      </c>
      <c r="F3">
        <f t="shared" ref="F3:F30" si="1">E3*B3</f>
        <v>3091.5</v>
      </c>
      <c r="G3" t="s">
        <v>37</v>
      </c>
      <c r="H3" t="s">
        <v>49</v>
      </c>
    </row>
    <row r="4" spans="1:8" x14ac:dyDescent="0.35">
      <c r="A4" s="3" t="s">
        <v>7</v>
      </c>
      <c r="B4">
        <v>2</v>
      </c>
      <c r="C4">
        <v>2278.75</v>
      </c>
      <c r="D4">
        <f t="shared" si="0"/>
        <v>4557.5</v>
      </c>
      <c r="E4">
        <v>2340</v>
      </c>
      <c r="F4">
        <f t="shared" si="1"/>
        <v>4680</v>
      </c>
      <c r="G4" t="s">
        <v>37</v>
      </c>
      <c r="H4" t="s">
        <v>50</v>
      </c>
    </row>
    <row r="5" spans="1:8" x14ac:dyDescent="0.35">
      <c r="A5" s="3" t="s">
        <v>8</v>
      </c>
      <c r="B5">
        <v>5</v>
      </c>
      <c r="C5">
        <v>711.4</v>
      </c>
      <c r="D5">
        <f t="shared" si="0"/>
        <v>3557</v>
      </c>
      <c r="E5">
        <v>464.55</v>
      </c>
      <c r="F5">
        <f t="shared" si="1"/>
        <v>2322.75</v>
      </c>
      <c r="G5" t="s">
        <v>9</v>
      </c>
      <c r="H5" t="s">
        <v>51</v>
      </c>
    </row>
    <row r="6" spans="1:8" x14ac:dyDescent="0.35">
      <c r="A6" s="4" t="s">
        <v>10</v>
      </c>
      <c r="B6">
        <v>575</v>
      </c>
      <c r="C6">
        <v>26</v>
      </c>
      <c r="D6">
        <f t="shared" si="0"/>
        <v>14950</v>
      </c>
      <c r="E6">
        <v>32.299999999999997</v>
      </c>
      <c r="F6">
        <f t="shared" si="1"/>
        <v>18572.5</v>
      </c>
      <c r="G6" t="s">
        <v>38</v>
      </c>
    </row>
    <row r="7" spans="1:8" x14ac:dyDescent="0.35">
      <c r="A7" s="3" t="s">
        <v>11</v>
      </c>
      <c r="B7">
        <v>5</v>
      </c>
      <c r="C7">
        <v>94.75</v>
      </c>
      <c r="D7">
        <f t="shared" si="0"/>
        <v>473.75</v>
      </c>
      <c r="E7">
        <v>77.599999999999994</v>
      </c>
      <c r="F7">
        <f t="shared" si="1"/>
        <v>388</v>
      </c>
      <c r="G7" t="s">
        <v>9</v>
      </c>
      <c r="H7" t="s">
        <v>52</v>
      </c>
    </row>
    <row r="8" spans="1:8" x14ac:dyDescent="0.35">
      <c r="A8" s="3" t="s">
        <v>12</v>
      </c>
      <c r="B8">
        <v>201</v>
      </c>
      <c r="C8">
        <v>16.25</v>
      </c>
      <c r="D8">
        <f t="shared" si="0"/>
        <v>3266.25</v>
      </c>
      <c r="E8">
        <v>19.850000000000001</v>
      </c>
      <c r="F8">
        <f t="shared" si="1"/>
        <v>3989.8500000000004</v>
      </c>
      <c r="G8" t="s">
        <v>9</v>
      </c>
    </row>
    <row r="9" spans="1:8" x14ac:dyDescent="0.35">
      <c r="A9" s="1" t="s">
        <v>15</v>
      </c>
      <c r="B9">
        <v>20</v>
      </c>
      <c r="C9">
        <v>712</v>
      </c>
      <c r="D9">
        <f t="shared" si="0"/>
        <v>14240</v>
      </c>
      <c r="E9">
        <v>429</v>
      </c>
      <c r="F9">
        <f t="shared" si="1"/>
        <v>8580</v>
      </c>
      <c r="G9" t="s">
        <v>9</v>
      </c>
      <c r="H9" t="s">
        <v>47</v>
      </c>
    </row>
    <row r="10" spans="1:8" x14ac:dyDescent="0.35">
      <c r="A10" t="s">
        <v>16</v>
      </c>
      <c r="B10">
        <v>15</v>
      </c>
      <c r="C10">
        <v>225.25</v>
      </c>
      <c r="D10">
        <f t="shared" si="0"/>
        <v>3378.75</v>
      </c>
      <c r="E10">
        <v>316</v>
      </c>
      <c r="F10">
        <f t="shared" si="1"/>
        <v>4740</v>
      </c>
      <c r="G10" t="s">
        <v>37</v>
      </c>
      <c r="H10" t="s">
        <v>53</v>
      </c>
    </row>
    <row r="11" spans="1:8" x14ac:dyDescent="0.35">
      <c r="A11" t="s">
        <v>17</v>
      </c>
      <c r="B11">
        <v>15</v>
      </c>
      <c r="C11">
        <v>187</v>
      </c>
      <c r="D11">
        <f t="shared" si="0"/>
        <v>2805</v>
      </c>
      <c r="E11">
        <v>308.10000000000002</v>
      </c>
      <c r="F11">
        <f t="shared" si="1"/>
        <v>4621.5</v>
      </c>
      <c r="G11" t="s">
        <v>37</v>
      </c>
      <c r="H11" t="s">
        <v>54</v>
      </c>
    </row>
    <row r="12" spans="1:8" x14ac:dyDescent="0.35">
      <c r="A12" t="s">
        <v>18</v>
      </c>
      <c r="B12">
        <v>1</v>
      </c>
      <c r="C12">
        <v>5180</v>
      </c>
      <c r="D12">
        <f t="shared" si="0"/>
        <v>5180</v>
      </c>
      <c r="E12">
        <v>3993</v>
      </c>
      <c r="F12">
        <f t="shared" si="1"/>
        <v>3993</v>
      </c>
      <c r="G12" t="s">
        <v>9</v>
      </c>
      <c r="H12" t="s">
        <v>55</v>
      </c>
    </row>
    <row r="13" spans="1:8" x14ac:dyDescent="0.35">
      <c r="A13" t="s">
        <v>19</v>
      </c>
      <c r="B13">
        <v>5</v>
      </c>
      <c r="C13">
        <v>970.41</v>
      </c>
      <c r="D13">
        <f t="shared" si="0"/>
        <v>4852.05</v>
      </c>
      <c r="E13">
        <v>653.54999999999995</v>
      </c>
      <c r="F13">
        <f t="shared" si="1"/>
        <v>3267.75</v>
      </c>
      <c r="G13" t="s">
        <v>9</v>
      </c>
      <c r="H13" t="s">
        <v>47</v>
      </c>
    </row>
    <row r="14" spans="1:8" x14ac:dyDescent="0.35">
      <c r="A14" s="1" t="s">
        <v>20</v>
      </c>
      <c r="B14">
        <v>6</v>
      </c>
      <c r="C14">
        <v>2150</v>
      </c>
      <c r="D14">
        <f t="shared" si="0"/>
        <v>12900</v>
      </c>
      <c r="E14">
        <v>548</v>
      </c>
      <c r="F14">
        <f t="shared" si="1"/>
        <v>3288</v>
      </c>
      <c r="G14" t="s">
        <v>9</v>
      </c>
      <c r="H14" t="s">
        <v>55</v>
      </c>
    </row>
    <row r="15" spans="1:8" x14ac:dyDescent="0.35">
      <c r="A15" t="s">
        <v>21</v>
      </c>
      <c r="B15">
        <v>200</v>
      </c>
      <c r="C15">
        <v>16.55</v>
      </c>
      <c r="D15">
        <f t="shared" si="0"/>
        <v>3310</v>
      </c>
      <c r="E15">
        <v>15.7</v>
      </c>
      <c r="F15">
        <f t="shared" si="1"/>
        <v>3140</v>
      </c>
      <c r="G15" t="s">
        <v>9</v>
      </c>
      <c r="H15" t="s">
        <v>56</v>
      </c>
    </row>
    <row r="16" spans="1:8" x14ac:dyDescent="0.35">
      <c r="A16" t="s">
        <v>22</v>
      </c>
      <c r="B16">
        <v>1</v>
      </c>
      <c r="C16">
        <v>2716.85</v>
      </c>
      <c r="D16">
        <f t="shared" si="0"/>
        <v>2716.85</v>
      </c>
      <c r="E16">
        <v>2583.4</v>
      </c>
      <c r="F16">
        <f t="shared" si="1"/>
        <v>2583.4</v>
      </c>
      <c r="G16" t="s">
        <v>9</v>
      </c>
      <c r="H16" t="s">
        <v>55</v>
      </c>
    </row>
    <row r="17" spans="1:8" x14ac:dyDescent="0.35">
      <c r="A17" t="s">
        <v>23</v>
      </c>
      <c r="B17">
        <v>10</v>
      </c>
      <c r="C17">
        <v>226.85</v>
      </c>
      <c r="D17">
        <f t="shared" si="0"/>
        <v>2268.5</v>
      </c>
      <c r="E17">
        <v>213.8</v>
      </c>
      <c r="F17">
        <f t="shared" si="1"/>
        <v>2138</v>
      </c>
      <c r="G17" t="s">
        <v>9</v>
      </c>
      <c r="H17" t="s">
        <v>57</v>
      </c>
    </row>
    <row r="18" spans="1:8" x14ac:dyDescent="0.35">
      <c r="A18" t="s">
        <v>24</v>
      </c>
      <c r="B18">
        <v>15</v>
      </c>
      <c r="C18">
        <v>147.25</v>
      </c>
      <c r="D18">
        <f t="shared" si="0"/>
        <v>2208.75</v>
      </c>
      <c r="E18">
        <v>142.9</v>
      </c>
      <c r="F18">
        <f t="shared" si="1"/>
        <v>2143.5</v>
      </c>
      <c r="G18" t="s">
        <v>9</v>
      </c>
      <c r="H18" t="s">
        <v>58</v>
      </c>
    </row>
    <row r="19" spans="1:8" x14ac:dyDescent="0.35">
      <c r="A19" t="s">
        <v>25</v>
      </c>
      <c r="B19">
        <v>5</v>
      </c>
      <c r="C19">
        <v>512</v>
      </c>
      <c r="D19">
        <f t="shared" si="0"/>
        <v>2560</v>
      </c>
      <c r="E19">
        <v>402.6</v>
      </c>
      <c r="F19">
        <f t="shared" si="1"/>
        <v>2013</v>
      </c>
      <c r="G19" t="s">
        <v>9</v>
      </c>
      <c r="H19" t="s">
        <v>59</v>
      </c>
    </row>
    <row r="20" spans="1:8" x14ac:dyDescent="0.35">
      <c r="A20" t="s">
        <v>26</v>
      </c>
      <c r="B20">
        <v>25</v>
      </c>
      <c r="C20">
        <v>89</v>
      </c>
      <c r="D20">
        <f t="shared" si="0"/>
        <v>2225</v>
      </c>
      <c r="E20">
        <v>82.65</v>
      </c>
      <c r="F20">
        <f t="shared" si="1"/>
        <v>2066.25</v>
      </c>
      <c r="G20" t="s">
        <v>9</v>
      </c>
      <c r="H20" t="s">
        <v>52</v>
      </c>
    </row>
    <row r="21" spans="1:8" x14ac:dyDescent="0.35">
      <c r="A21" t="s">
        <v>27</v>
      </c>
      <c r="B21">
        <v>10</v>
      </c>
      <c r="C21">
        <v>188.35</v>
      </c>
      <c r="D21">
        <f t="shared" si="0"/>
        <v>1883.5</v>
      </c>
      <c r="E21">
        <v>187.15</v>
      </c>
      <c r="F21">
        <f t="shared" si="1"/>
        <v>1871.5</v>
      </c>
      <c r="G21" t="s">
        <v>9</v>
      </c>
      <c r="H21" t="s">
        <v>60</v>
      </c>
    </row>
    <row r="22" spans="1:8" x14ac:dyDescent="0.35">
      <c r="A22" t="s">
        <v>28</v>
      </c>
      <c r="B22">
        <v>15</v>
      </c>
      <c r="C22">
        <v>54.6</v>
      </c>
      <c r="D22">
        <f t="shared" si="0"/>
        <v>819</v>
      </c>
      <c r="E22">
        <v>80.349999999999994</v>
      </c>
      <c r="F22">
        <f t="shared" si="1"/>
        <v>1205.25</v>
      </c>
      <c r="G22" t="s">
        <v>37</v>
      </c>
      <c r="H22" t="s">
        <v>61</v>
      </c>
    </row>
    <row r="23" spans="1:8" x14ac:dyDescent="0.35">
      <c r="A23" t="s">
        <v>29</v>
      </c>
      <c r="B23">
        <v>10</v>
      </c>
      <c r="C23">
        <v>160.80000000000001</v>
      </c>
      <c r="D23">
        <f t="shared" si="0"/>
        <v>1608</v>
      </c>
      <c r="E23">
        <v>143.5</v>
      </c>
      <c r="F23">
        <f t="shared" si="1"/>
        <v>1435</v>
      </c>
      <c r="G23" t="s">
        <v>9</v>
      </c>
      <c r="H23" t="s">
        <v>62</v>
      </c>
    </row>
    <row r="24" spans="1:8" x14ac:dyDescent="0.35">
      <c r="A24" t="s">
        <v>30</v>
      </c>
      <c r="B24">
        <v>15</v>
      </c>
      <c r="C24">
        <v>112.5</v>
      </c>
      <c r="D24">
        <f t="shared" si="0"/>
        <v>1687.5</v>
      </c>
      <c r="E24">
        <v>92.15</v>
      </c>
      <c r="F24">
        <f t="shared" si="1"/>
        <v>1382.25</v>
      </c>
      <c r="G24" t="s">
        <v>9</v>
      </c>
      <c r="H24" t="s">
        <v>63</v>
      </c>
    </row>
    <row r="25" spans="1:8" x14ac:dyDescent="0.35">
      <c r="A25" t="s">
        <v>31</v>
      </c>
      <c r="B25">
        <v>15</v>
      </c>
      <c r="C25">
        <v>123.15</v>
      </c>
      <c r="D25">
        <f t="shared" si="0"/>
        <v>1847.25</v>
      </c>
      <c r="E25">
        <v>91.7</v>
      </c>
      <c r="F25">
        <f t="shared" si="1"/>
        <v>1375.5</v>
      </c>
      <c r="G25" t="s">
        <v>9</v>
      </c>
      <c r="H25" t="s">
        <v>64</v>
      </c>
    </row>
    <row r="26" spans="1:8" x14ac:dyDescent="0.35">
      <c r="A26" t="s">
        <v>32</v>
      </c>
      <c r="B26">
        <v>15</v>
      </c>
      <c r="C26">
        <v>123.1</v>
      </c>
      <c r="D26">
        <f t="shared" si="0"/>
        <v>1846.5</v>
      </c>
      <c r="E26">
        <v>81.400000000000006</v>
      </c>
      <c r="F26">
        <f t="shared" si="1"/>
        <v>1221</v>
      </c>
      <c r="G26" t="s">
        <v>9</v>
      </c>
      <c r="H26" t="s">
        <v>65</v>
      </c>
    </row>
    <row r="27" spans="1:8" x14ac:dyDescent="0.35">
      <c r="A27" t="s">
        <v>33</v>
      </c>
      <c r="B27">
        <v>3</v>
      </c>
      <c r="C27">
        <v>255.55</v>
      </c>
      <c r="D27">
        <f t="shared" si="0"/>
        <v>766.65000000000009</v>
      </c>
      <c r="E27">
        <v>335.15</v>
      </c>
      <c r="F27">
        <f t="shared" si="1"/>
        <v>1005.4499999999999</v>
      </c>
      <c r="G27" t="s">
        <v>37</v>
      </c>
      <c r="H27" t="s">
        <v>66</v>
      </c>
    </row>
    <row r="28" spans="1:8" x14ac:dyDescent="0.35">
      <c r="A28" t="s">
        <v>34</v>
      </c>
      <c r="B28">
        <v>1</v>
      </c>
      <c r="C28">
        <v>1138.7</v>
      </c>
      <c r="D28">
        <f t="shared" si="0"/>
        <v>1138.7</v>
      </c>
      <c r="E28">
        <v>791.65</v>
      </c>
      <c r="F28">
        <f t="shared" si="1"/>
        <v>791.65</v>
      </c>
      <c r="G28" t="s">
        <v>9</v>
      </c>
      <c r="H28" t="s">
        <v>67</v>
      </c>
    </row>
    <row r="29" spans="1:8" x14ac:dyDescent="0.35">
      <c r="A29" t="s">
        <v>35</v>
      </c>
      <c r="B29">
        <v>65</v>
      </c>
      <c r="C29">
        <v>5.4</v>
      </c>
      <c r="D29">
        <f t="shared" si="0"/>
        <v>351</v>
      </c>
      <c r="E29">
        <v>7.5</v>
      </c>
      <c r="F29">
        <f t="shared" si="1"/>
        <v>487.5</v>
      </c>
      <c r="G29" t="s">
        <v>37</v>
      </c>
      <c r="H29" t="s">
        <v>68</v>
      </c>
    </row>
    <row r="30" spans="1:8" x14ac:dyDescent="0.35">
      <c r="A30" t="s">
        <v>36</v>
      </c>
      <c r="B30">
        <v>1</v>
      </c>
      <c r="C30">
        <v>152.4</v>
      </c>
      <c r="D30">
        <f t="shared" si="0"/>
        <v>152.4</v>
      </c>
      <c r="E30">
        <v>183.4</v>
      </c>
      <c r="F30">
        <f t="shared" si="1"/>
        <v>183.4</v>
      </c>
      <c r="G30" t="s">
        <v>37</v>
      </c>
      <c r="H30" t="s">
        <v>69</v>
      </c>
    </row>
    <row r="31" spans="1:8" x14ac:dyDescent="0.35">
      <c r="A31" t="s">
        <v>39</v>
      </c>
    </row>
    <row r="32" spans="1:8" x14ac:dyDescent="0.35">
      <c r="A32" t="s">
        <v>40</v>
      </c>
    </row>
    <row r="33" spans="1:1" x14ac:dyDescent="0.35">
      <c r="A33" t="s">
        <v>41</v>
      </c>
    </row>
    <row r="34" spans="1:1" x14ac:dyDescent="0.35">
      <c r="A34" t="s">
        <v>42</v>
      </c>
    </row>
    <row r="35" spans="1:1" x14ac:dyDescent="0.35">
      <c r="A35" t="s">
        <v>43</v>
      </c>
    </row>
    <row r="36" spans="1:1" x14ac:dyDescent="0.35">
      <c r="A36" t="s">
        <v>44</v>
      </c>
    </row>
    <row r="37" spans="1:1" x14ac:dyDescent="0.35">
      <c r="A37" t="s">
        <v>45</v>
      </c>
    </row>
  </sheetData>
  <autoFilter ref="A1:G1" xr:uid="{9F3DCA42-779F-40F8-979B-736FCC94306E}"/>
  <conditionalFormatting sqref="D2:D1048576 F2:F1048576">
    <cfRule type="expression" dxfId="1" priority="2">
      <formula>$D2&gt;$F2</formula>
    </cfRule>
    <cfRule type="expression" dxfId="0" priority="1">
      <formula>$D2&lt;$F2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Chakitan Vyas</dc:creator>
  <cp:lastModifiedBy>Chakitan Vyas</cp:lastModifiedBy>
  <dcterms:created xsi:type="dcterms:W3CDTF">2022-11-18T06:51:26Z</dcterms:created>
  <dcterms:modified xsi:type="dcterms:W3CDTF">2022-12-27T06:44:19Z</dcterms:modified>
</cp:coreProperties>
</file>